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EEE4306B-A378-480C-A9F2-0D7C9D32CAF1}" xr6:coauthVersionLast="47" xr6:coauthVersionMax="47" xr10:uidLastSave="{00000000-0000-0000-0000-000000000000}"/>
  <bookViews>
    <workbookView xWindow="-110" yWindow="-110" windowWidth="25820" windowHeight="13900" tabRatio="651" activeTab="6"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4" i="13" l="1"/>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3" i="3"/>
  <c r="K12" i="3"/>
  <c r="P10" i="10" l="1"/>
  <c r="O30" i="13"/>
  <c r="O31" i="13"/>
  <c r="O27" i="13"/>
  <c r="O28" i="13"/>
  <c r="O29" i="13"/>
  <c r="O5" i="9"/>
  <c r="O6" i="9"/>
  <c r="O7" i="9"/>
  <c r="O8" i="9"/>
  <c r="O9" i="9"/>
  <c r="O10" i="9"/>
  <c r="O11" i="9"/>
  <c r="O12" i="9"/>
  <c r="O13" i="9"/>
  <c r="O14" i="9"/>
  <c r="O15" i="9"/>
  <c r="O16" i="9"/>
  <c r="O4" i="9"/>
  <c r="S5"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<sst xmlns="http://schemas.openxmlformats.org/spreadsheetml/2006/main" count="795" uniqueCount="522">
  <si>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</si>
  <si>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</si>
  <si>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</si>
  <si>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</si>
  <si>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</si>
  <si>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</si>
  <si>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</si>
  <si>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</si>
  <si>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</si>
  <si>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</si>
  <si>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</si>
  <si>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</si>
  <si>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</si>
  <si>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</si>
  <si>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</si>
  <si>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</si>
  <si>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</si>
  <si>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</si>
  <si>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</si>
  <si>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</si>
  <si>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</si>
  <si>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</si>
  <si>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</si>
  <si>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</si>
  <si>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</si>
  <si>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</si>
  <si>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</si>
  <si>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</si>
  <si>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</si>
  <si>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</si>
  <si>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</si>
  <si>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</si>
  <si>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</si>
  <si>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</si>
  <si>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</si>
  <si>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</si>
  <si>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</si>
  <si>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</si>
  <si>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</si>
  <si>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</si>
  <si>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</si>
  <si>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</si>
  <si>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</si>
  <si>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</si>
  <si>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</si>
  <si>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</si>
  <si>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</si>
  <si>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</si>
  <si>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</si>
  <si>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</si>
  <si>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</si>
  <si>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</si>
  <si>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</si>
  <si>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</si>
  <si>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</si>
  <si>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</si>
  <si>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</si>
  <si>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</si>
  <si>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</si>
  <si>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</si>
  <si>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</si>
  <si>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</si>
  <si>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</si>
  <si>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</si>
  <si>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</si>
  <si>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</si>
  <si>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</si>
  <si>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</si>
  <si>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</si>
  <si>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</si>
  <si>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</si>
  <si>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</si>
  <si>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</si>
  <si>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</si>
  <si>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</si>
  <si>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</si>
  <si>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</si>
  <si>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</si>
  <si>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</si>
  <si>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</si>
  <si>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</si>
  <si>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</si>
  <si>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</si>
  <si>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</si>
  <si>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</si>
  <si>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</si>
  <si>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</si>
  <si>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</si>
  <si>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</si>
  <si>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</si>
  <si>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</si>
  <si>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</si>
  <si>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</si>
  <si>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</si>
  <si>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</si>
  <si>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</si>
  <si>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</si>
  <si>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</si>
  <si>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</si>
  <si>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</si>
  <si>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</si>
  <si>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</si>
  <si>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</si>
  <si>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</si>
  <si>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</si>
  <si>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</si>
  <si>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</si>
  <si>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</si>
  <si>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</si>
  <si>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</si>
  <si>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</si>
  <si>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</si>
  <si>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</si>
  <si>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</si>
  <si>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</si>
  <si>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</si>
  <si>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</si>
  <si>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</si>
  <si>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</si>
  <si>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</si>
  <si>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</si>
  <si>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</si>
  <si>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</si>
  <si>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</si>
  <si>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</si>
  <si>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</si>
  <si>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</si>
  <si>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</si>
  <si>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</si>
  <si>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</si>
  <si>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</si>
  <si>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</si>
  <si>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</si>
  <si>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</si>
  <si>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</si>
  <si>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</si>
  <si>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</si>
  <si>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</si>
  <si>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</si>
  <si>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</si>
  <si>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</si>
  <si>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</si>
  <si>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</si>
  <si>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</si>
  <si>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</si>
  <si>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</si>
  <si>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</si>
  <si>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</si>
  <si>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</si>
  <si>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</si>
  <si>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</si>
  <si>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</si>
  <si>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</si>
  <si>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</si>
  <si>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</si>
  <si>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</si>
  <si>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</si>
  <si>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</si>
  <si>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</si>
  <si>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</si>
  <si>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</si>
  <si>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</si>
  <si>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</si>
  <si>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</si>
  <si>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</si>
  <si>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</si>
  <si>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</si>
  <si>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</si>
  <si>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</si>
  <si>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</si>
  <si>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</si>
  <si>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</si>
  <si>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</si>
  <si>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</si>
  <si>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</si>
  <si>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</si>
  <si>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</si>
  <si>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</si>
  <si>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</si>
  <si>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</si>
  <si>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</si>
  <si>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</si>
  <si>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</si>
  <si>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</si>
  <si>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</si>
  <si>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</si>
  <si>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</si>
  <si>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</si>
  <si>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</si>
  <si>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</si>
  <si>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</si>
  <si>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</si>
  <si>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</si>
  <si>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</si>
  <si>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</si>
  <si>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</si>
  <si>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</si>
  <si>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</si>
  <si>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</si>
  <si>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</si>
  <si>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</si>
  <si>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</si>
  <si>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</si>
  <si>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</si>
  <si>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</si>
  <si>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</si>
  <si>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</si>
  <si>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</si>
  <si>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</si>
  <si>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</si>
  <si>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</si>
  <si>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</si>
  <si>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</si>
  <si>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</si>
  <si>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</si>
  <si>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</si>
  <si>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</si>
  <si>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</si>
  <si>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</si>
  <si>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</si>
  <si>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</si>
  <si>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</si>
  <si>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</si>
  <si>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</si>
  <si>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</si>
  <si>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</si>
  <si>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</si>
  <si>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</si>
  <si>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</si>
  <si>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</si>
  <si>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</si>
  <si>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</si>
  <si>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</si>
  <si>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</si>
  <si>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</si>
  <si>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</si>
  <si>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</si>
  <si>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</si>
  <si>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</si>
  <si>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</si>
  <si>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</si>
  <si>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</si>
  <si>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</si>
  <si>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</si>
  <si>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</si>
  <si>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</si>
  <si>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</si>
  <si>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</si>
  <si>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</si>
  <si>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</si>
  <si>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</si>
  <si>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</si>
  <si>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</si>
  <si>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</si>
  <si>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</si>
  <si>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</si>
  <si>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</si>
  <si>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</si>
  <si>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</si>
  <si>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</si>
  <si>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</si>
  <si>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</si>
  <si>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</si>
  <si>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</si>
  <si>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</si>
  <si>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</si>
  <si>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</si>
  <si>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</si>
  <si>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</si>
  <si>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</si>
  <si>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</si>
  <si>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</si>
  <si>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</si>
  <si>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</si>
  <si>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</si>
  <si>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</si>
  <si>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</si>
  <si>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</si>
  <si>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</si>
  <si>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</si>
  <si>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</si>
  <si>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</si>
  <si>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</si>
  <si>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</si>
  <si>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</si>
  <si>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</si>
  <si>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</si>
  <si>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</si>
  <si>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</si>
  <si>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</si>
  <si>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</si>
  <si>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</si>
  <si>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</si>
  <si>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</si>
  <si>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</si>
  <si>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</si>
  <si>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</si>
  <si>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</si>
  <si>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</si>
  <si>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</si>
  <si>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</si>
  <si>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</si>
  <si>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</si>
  <si>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</si>
  <si>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</si>
  <si>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</si>
  <si>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</si>
  <si>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</si>
  <si>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</si>
  <si>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</si>
  <si>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</si>
  <si>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</si>
  <si>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</si>
  <si>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</si>
  <si>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</si>
  <si>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</si>
  <si>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</si>
  <si>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</si>
  <si>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</si>
  <si>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</si>
  <si>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</si>
  <si>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</si>
  <si>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</si>
  <si>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</si>
  <si>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</si>
  <si>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</si>
  <si>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</si>
  <si>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</si>
  <si>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</si>
  <si>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</si>
  <si>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</si>
  <si>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</si>
  <si>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</si>
  <si>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</si>
  <si>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</si>
  <si>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</si>
  <si>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</si>
  <si>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</si>
  <si>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</si>
  <si>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</si>
  <si>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</si>
  <si>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</si>
  <si>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</si>
  <si>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</si>
  <si>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</si>
  <si>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</si>
  <si>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</si>
  <si>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</si>
  <si>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</si>
  <si>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</si>
  <si>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</si>
  <si>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</si>
  <si>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</si>
  <si>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</si>
  <si>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</si>
  <si>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</si>
  <si>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</si>
  <si>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</si>
  <si>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</si>
  <si>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</si>
  <si>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</si>
  <si>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</si>
  <si>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</si>
  <si>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</si>
  <si>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</si>
  <si>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</si>
  <si>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</si>
  <si>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</si>
  <si>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</si>
  <si>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</si>
  <si>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</si>
  <si>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</si>
  <si>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</si>
  <si>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</si>
  <si>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</si>
  <si>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</si>
  <si>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</si>
  <si>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</si>
  <si>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</si>
  <si>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</si>
  <si>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</si>
  <si>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</si>
  <si>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</si>
  <si>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</si>
  <si>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</si>
  <si>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</si>
  <si>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</si>
  <si>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</si>
  <si>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</si>
  <si>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</si>
  <si>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</si>
  <si>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</si>
  <si>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</si>
  <si>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</si>
  <si>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</si>
  <si>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</si>
  <si>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</si>
  <si>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</si>
  <si>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</si>
  <si>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</si>
  <si>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</si>
  <si>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</si>
  <si>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</si>
  <si>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</si>
  <si>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</si>
  <si>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</si>
  <si>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</si>
  <si>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</si>
  <si>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</si>
  <si>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</si>
  <si>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</si>
  <si>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</si>
  <si>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</si>
  <si>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</si>
  <si>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</si>
  <si>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</si>
  <si>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</si>
  <si>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</si>
  <si>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</si>
  <si>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</si>
  <si>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</si>
  <si>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</si>
  <si>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</si>
  <si>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</si>
  <si>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</si>
  <si>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</si>
  <si>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</si>
  <si>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</si>
  <si>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</si>
  <si>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</si>
  <si>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</si>
  <si>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</si>
  <si>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</si>
  <si>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</si>
  <si>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</si>
  <si>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</si>
  <si>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</si>
  <si>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</si>
  <si>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</si>
  <si>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</si>
  <si>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</si>
  <si>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</si>
  <si>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</si>
  <si>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</si>
  <si>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</si>
  <si>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</si>
  <si>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</si>
  <si>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</si>
  <si>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</si>
  <si>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</si>
  <si>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</si>
  <si>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</si>
  <si>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</si>
  <si>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</si>
  <si>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</si>
  <si>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</si>
  <si>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</si>
  <si>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</si>
  <si>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</si>
  <si>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</si>
  <si>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</si>
  <si>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</si>
  <si>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</si>
  <si>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</si>
  <si>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</si>
  <si>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</si>
  <si>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</si>
  <si>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</si>
  <si>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</si>
  <si>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</si>
  <si>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</si>
  <si>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</si>
  <si>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</si>
  <si>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</si>
  <si>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</si>
  <si>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</si>
  <si>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</si>
  <si>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</si>
  <si>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</si>
  <si>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</si>
  <si>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</si>
  <si>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</si>
  <si>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</si>
  <si>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</si>
  <si>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</si>
  <si>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</si>
  <si>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</si>
  <si>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</si>
  <si>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</si>
  <si>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</si>
  <si>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</si>
  <si>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</si>
  <si>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机枪的弹容量种族优势可额外换2-4层级，对应种族价格系数，可叠加武器价格层级。穿刺枪的种族优势为群攻，散弹的种族优势为吃拐率，不反映在面板上，所以无额外加权层级。</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</si>
  <si>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</si>
  <si>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</si>
  <si>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</si>
  <si>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</si>
  <si>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韧性系数</t>
    <phoneticPr fontId="1" type="noConversion"/>
  </si>
  <si>
    <t>阶段、档次系数、韧性系数参考下方表格。阶段和档次系数将决定整体数值大致水平。对于拥有暖机、强力buff、多阶段等显著影响面板的特殊机制单位可能不适用。</t>
    <phoneticPr fontId="1" type="noConversion"/>
  </si>
  <si>
    <t>韧性系数</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</si>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</sst>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B31" sqref="B31"/>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376</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377</v>
      </c>
      <c r="AA2" s="14" t="s">
        <v>378</v>
      </c>
      <c r="AB2" s="14" t="s">
        <v>379</v>
      </c>
      <c r="AC2" s="14" t="s">
        <v>380</v>
      </c>
      <c r="AD2" s="14" t="s">
        <v>385</v>
      </c>
      <c r="AE2" s="14" t="s">
        <v>384</v>
      </c>
      <c r="AF2" s="14" t="s">
        <v>386</v>
      </c>
      <c r="AG2" s="14" t="s">
        <v>381</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10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10608.682012142001</v>
      </c>
      <c r="V8">
        <f>表2_5[[#This Row],[平衡裸伤dps]]+表2_5[[#This Row],[平衡增益dps]]</f>
        <v>10849.242444199579</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5153.2323332905817</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5696.0101109089965</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9621.340695062765</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0.97782698346959784</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375</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382</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492</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383</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401</v>
      </c>
      <c r="J2" s="8" t="s">
        <v>170</v>
      </c>
      <c r="K2" s="8" t="s">
        <v>171</v>
      </c>
      <c r="L2" s="8" t="s">
        <v>172</v>
      </c>
      <c r="M2" s="8" t="s">
        <v>12</v>
      </c>
      <c r="N2" s="11" t="s">
        <v>152</v>
      </c>
      <c r="O2" s="14" t="s">
        <v>173</v>
      </c>
      <c r="P2" s="14" t="s">
        <v>174</v>
      </c>
      <c r="Q2" s="14" t="s">
        <v>175</v>
      </c>
      <c r="R2" s="11" t="s">
        <v>154</v>
      </c>
      <c r="S2" s="14" t="s">
        <v>402</v>
      </c>
      <c r="T2" s="14" t="s">
        <v>403</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406</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494</v>
      </c>
      <c r="E12" s="3"/>
      <c r="F12" s="3"/>
      <c r="G12" s="3"/>
      <c r="H12" s="3"/>
      <c r="I12" s="3"/>
      <c r="J12" s="3"/>
      <c r="K12" s="3"/>
      <c r="L12" s="3"/>
      <c r="M12" s="3"/>
    </row>
    <row r="13" spans="1:20" x14ac:dyDescent="0.3">
      <c r="B13" s="3"/>
      <c r="C13" s="2"/>
      <c r="D13" s="2" t="s">
        <v>495</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493</v>
      </c>
      <c r="C15" s="1" t="s">
        <v>177</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194</v>
      </c>
      <c r="C17" t="s">
        <v>195</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260</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236</v>
      </c>
      <c r="D20" s="2" t="s">
        <v>405</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192</v>
      </c>
    </row>
    <row r="23" spans="2:20" x14ac:dyDescent="0.3">
      <c r="B23" s="3"/>
      <c r="C23" t="s">
        <v>207</v>
      </c>
    </row>
    <row r="24" spans="2:20" x14ac:dyDescent="0.3">
      <c r="B24" s="3"/>
    </row>
    <row r="25" spans="2:20" x14ac:dyDescent="0.3">
      <c r="B25" s="4" t="s">
        <v>41</v>
      </c>
      <c r="C25" t="s">
        <v>324</v>
      </c>
    </row>
    <row r="26" spans="2:20" x14ac:dyDescent="0.3">
      <c r="C26" t="s">
        <v>199</v>
      </c>
    </row>
    <row r="27" spans="2:20" x14ac:dyDescent="0.3">
      <c r="C27" t="s">
        <v>48</v>
      </c>
    </row>
    <row r="28" spans="2:20" x14ac:dyDescent="0.3">
      <c r="C28" t="s">
        <v>182</v>
      </c>
    </row>
    <row r="29" spans="2:20" x14ac:dyDescent="0.3">
      <c r="C29" t="s">
        <v>323</v>
      </c>
    </row>
    <row r="30" spans="2:20" x14ac:dyDescent="0.3">
      <c r="C30" t="s">
        <v>193</v>
      </c>
    </row>
    <row r="31" spans="2:20" x14ac:dyDescent="0.3">
      <c r="C31" t="s">
        <v>404</v>
      </c>
    </row>
    <row r="32" spans="2:20" x14ac:dyDescent="0.3">
      <c r="C32" t="s">
        <v>325</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407</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277</v>
      </c>
      <c r="D17" t="s">
        <v>408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F10" sqref="F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374</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373</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371</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tabSelected="1" workbookViewId="0">
      <selection activeCell="M6" sqref="M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430</v>
      </c>
      <c r="E2" s="33" t="s">
        <v>239</v>
      </c>
      <c r="F2" s="33" t="s">
        <v>240</v>
      </c>
      <c r="G2" s="33" t="s">
        <v>338</v>
      </c>
      <c r="H2" s="33" t="s">
        <v>356</v>
      </c>
      <c r="I2" s="33" t="s">
        <v>94</v>
      </c>
      <c r="J2" s="33" t="s">
        <v>357</v>
      </c>
      <c r="K2" s="33" t="s">
        <v>339</v>
      </c>
      <c r="M2" s="35" t="s">
        <v>337</v>
      </c>
      <c r="O2" s="35" t="s">
        <v>336</v>
      </c>
    </row>
    <row r="3" spans="3:15" x14ac:dyDescent="0.3">
      <c r="C3" t="s">
        <v>335</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355</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359</v>
      </c>
      <c r="D5" s="34">
        <v>4</v>
      </c>
      <c r="E5" s="27">
        <v>2</v>
      </c>
      <c r="F5" s="27">
        <v>2</v>
      </c>
      <c r="G5" s="45">
        <v>50000</v>
      </c>
      <c r="H5" s="27">
        <v>4000</v>
      </c>
      <c r="I5" s="27">
        <v>50000</v>
      </c>
      <c r="J5" s="45">
        <v>260000</v>
      </c>
      <c r="K5" s="27">
        <v>0</v>
      </c>
      <c r="M5" s="45">
        <f t="shared" si="0"/>
        <v>194500</v>
      </c>
      <c r="O5" s="45">
        <f t="shared" si="1"/>
        <v>208000</v>
      </c>
    </row>
    <row r="6" spans="3:15" x14ac:dyDescent="0.3">
      <c r="C6" s="1" t="s">
        <v>334</v>
      </c>
      <c r="D6" s="36">
        <v>1</v>
      </c>
      <c r="E6" s="37">
        <v>1</v>
      </c>
      <c r="F6" s="37">
        <v>1</v>
      </c>
      <c r="G6" s="37">
        <v>0</v>
      </c>
      <c r="H6" s="37">
        <v>0</v>
      </c>
      <c r="I6" s="37">
        <v>0</v>
      </c>
      <c r="J6" s="37">
        <v>0</v>
      </c>
      <c r="K6" s="37">
        <v>0</v>
      </c>
      <c r="M6" s="40">
        <f t="shared" si="0"/>
        <v>0</v>
      </c>
      <c r="O6" s="40">
        <f t="shared" si="1"/>
        <v>13000</v>
      </c>
    </row>
    <row r="8" spans="3:15" x14ac:dyDescent="0.3">
      <c r="C8" s="24" t="s">
        <v>236</v>
      </c>
      <c r="D8" s="2" t="s">
        <v>431</v>
      </c>
    </row>
    <row r="9" spans="3:15" x14ac:dyDescent="0.3">
      <c r="D9" s="2" t="s">
        <v>372</v>
      </c>
    </row>
    <row r="10" spans="3:15" x14ac:dyDescent="0.3">
      <c r="D10" s="2" t="s">
        <v>358</v>
      </c>
    </row>
    <row r="11" spans="3:15" x14ac:dyDescent="0.3">
      <c r="I11" s="2" t="s">
        <v>360</v>
      </c>
    </row>
    <row r="12" spans="3:15" x14ac:dyDescent="0.3">
      <c r="I12" s="33" t="s">
        <v>340</v>
      </c>
      <c r="J12" s="33" t="s">
        <v>224</v>
      </c>
      <c r="K12" s="33" t="s">
        <v>353</v>
      </c>
      <c r="L12" s="33" t="s">
        <v>354</v>
      </c>
      <c r="M12" s="35" t="s">
        <v>342</v>
      </c>
    </row>
    <row r="13" spans="3:15" x14ac:dyDescent="0.3">
      <c r="D13" s="2" t="s">
        <v>429</v>
      </c>
      <c r="H13" t="s">
        <v>87</v>
      </c>
      <c r="I13" s="46" t="s">
        <v>343</v>
      </c>
      <c r="J13" s="45">
        <v>20</v>
      </c>
      <c r="K13" s="45">
        <v>500</v>
      </c>
      <c r="L13" s="45">
        <f t="shared" ref="L13:L22" si="2">J13*K13</f>
        <v>10000</v>
      </c>
      <c r="M13">
        <f>SUM(L13:L13)</f>
        <v>10000</v>
      </c>
    </row>
    <row r="14" spans="3:15" x14ac:dyDescent="0.3">
      <c r="D14" s="33" t="s">
        <v>410</v>
      </c>
      <c r="E14" s="35" t="s">
        <v>411</v>
      </c>
      <c r="F14" s="33" t="s">
        <v>414</v>
      </c>
      <c r="H14" s="1" t="s">
        <v>363</v>
      </c>
      <c r="I14" s="46" t="s">
        <v>344</v>
      </c>
      <c r="J14" s="45">
        <v>0</v>
      </c>
      <c r="K14" s="45">
        <v>0</v>
      </c>
      <c r="L14" s="45">
        <f t="shared" si="2"/>
        <v>0</v>
      </c>
      <c r="M14" s="40">
        <f>SUM(L14:L22)</f>
        <v>0</v>
      </c>
    </row>
    <row r="15" spans="3:15" x14ac:dyDescent="0.3">
      <c r="D15" t="s">
        <v>409</v>
      </c>
      <c r="E15" s="40">
        <v>1</v>
      </c>
      <c r="I15" s="46" t="s">
        <v>345</v>
      </c>
      <c r="J15" s="45">
        <v>0</v>
      </c>
      <c r="K15" s="45">
        <v>0</v>
      </c>
      <c r="L15" s="45">
        <f t="shared" si="2"/>
        <v>0</v>
      </c>
    </row>
    <row r="16" spans="3:15" x14ac:dyDescent="0.3">
      <c r="D16" t="s">
        <v>412</v>
      </c>
      <c r="E16" s="40">
        <v>2</v>
      </c>
      <c r="I16" s="46" t="s">
        <v>346</v>
      </c>
      <c r="J16" s="45">
        <v>0</v>
      </c>
      <c r="K16" s="45">
        <v>0</v>
      </c>
      <c r="L16" s="45">
        <f t="shared" si="2"/>
        <v>0</v>
      </c>
    </row>
    <row r="17" spans="4:16" x14ac:dyDescent="0.3">
      <c r="D17" t="s">
        <v>413</v>
      </c>
      <c r="E17" s="40">
        <v>3</v>
      </c>
      <c r="I17" s="46" t="s">
        <v>347</v>
      </c>
      <c r="J17" s="45">
        <v>0</v>
      </c>
      <c r="K17" s="45">
        <v>0</v>
      </c>
      <c r="L17" s="45">
        <f t="shared" si="2"/>
        <v>0</v>
      </c>
    </row>
    <row r="18" spans="4:16" x14ac:dyDescent="0.3">
      <c r="D18" t="s">
        <v>415</v>
      </c>
      <c r="E18" s="40">
        <v>4</v>
      </c>
      <c r="F18" t="s">
        <v>426</v>
      </c>
      <c r="I18" s="46" t="s">
        <v>348</v>
      </c>
      <c r="J18" s="45">
        <v>0</v>
      </c>
      <c r="K18" s="45">
        <v>0</v>
      </c>
      <c r="L18" s="45">
        <f t="shared" si="2"/>
        <v>0</v>
      </c>
    </row>
    <row r="19" spans="4:16" x14ac:dyDescent="0.3">
      <c r="D19" t="s">
        <v>416</v>
      </c>
      <c r="E19" s="40">
        <v>5</v>
      </c>
      <c r="F19" t="s">
        <v>423</v>
      </c>
      <c r="I19" s="46" t="s">
        <v>349</v>
      </c>
      <c r="J19" s="45">
        <v>0</v>
      </c>
      <c r="K19" s="45">
        <v>0</v>
      </c>
      <c r="L19" s="45">
        <f t="shared" si="2"/>
        <v>0</v>
      </c>
    </row>
    <row r="20" spans="4:16" x14ac:dyDescent="0.3">
      <c r="D20" t="s">
        <v>417</v>
      </c>
      <c r="E20" s="40">
        <v>6</v>
      </c>
      <c r="F20" t="s">
        <v>425</v>
      </c>
      <c r="I20" s="46" t="s">
        <v>350</v>
      </c>
      <c r="J20" s="45">
        <v>0</v>
      </c>
      <c r="K20" s="45">
        <v>0</v>
      </c>
      <c r="L20" s="45">
        <f t="shared" si="2"/>
        <v>0</v>
      </c>
    </row>
    <row r="21" spans="4:16" x14ac:dyDescent="0.3">
      <c r="D21" t="s">
        <v>418</v>
      </c>
      <c r="E21" s="40">
        <v>7</v>
      </c>
      <c r="F21" t="s">
        <v>424</v>
      </c>
      <c r="I21" s="46" t="s">
        <v>351</v>
      </c>
      <c r="J21" s="45">
        <v>0</v>
      </c>
      <c r="K21" s="45">
        <v>0</v>
      </c>
      <c r="L21" s="45">
        <f t="shared" si="2"/>
        <v>0</v>
      </c>
    </row>
    <row r="22" spans="4:16" x14ac:dyDescent="0.3">
      <c r="D22" t="s">
        <v>419</v>
      </c>
      <c r="E22" s="40">
        <v>8</v>
      </c>
      <c r="I22" s="46" t="s">
        <v>352</v>
      </c>
      <c r="J22" s="45">
        <v>0</v>
      </c>
      <c r="K22" s="45">
        <v>0</v>
      </c>
      <c r="L22" s="45">
        <f t="shared" si="2"/>
        <v>0</v>
      </c>
    </row>
    <row r="23" spans="4:16" x14ac:dyDescent="0.3">
      <c r="D23" t="s">
        <v>428</v>
      </c>
      <c r="E23" s="40">
        <v>9</v>
      </c>
    </row>
    <row r="24" spans="4:16" x14ac:dyDescent="0.3">
      <c r="D24" t="s">
        <v>421</v>
      </c>
      <c r="E24" s="43" t="s">
        <v>422</v>
      </c>
      <c r="I24" s="2" t="s">
        <v>370</v>
      </c>
    </row>
    <row r="25" spans="4:16" x14ac:dyDescent="0.3">
      <c r="I25" s="33" t="s">
        <v>225</v>
      </c>
      <c r="J25" s="33" t="s">
        <v>14</v>
      </c>
      <c r="K25" s="38" t="s">
        <v>36</v>
      </c>
      <c r="L25" s="38" t="s">
        <v>229</v>
      </c>
      <c r="M25" s="38" t="s">
        <v>88</v>
      </c>
      <c r="N25" s="38" t="s">
        <v>224</v>
      </c>
      <c r="O25" s="38" t="s">
        <v>362</v>
      </c>
      <c r="P25" s="39" t="s">
        <v>341</v>
      </c>
    </row>
    <row r="26" spans="4:16" x14ac:dyDescent="0.3">
      <c r="H26" t="s">
        <v>87</v>
      </c>
      <c r="I26" s="46" t="s">
        <v>361</v>
      </c>
      <c r="J26" s="45">
        <v>20</v>
      </c>
      <c r="K26" s="45">
        <v>0</v>
      </c>
      <c r="L26" s="45">
        <v>1.5</v>
      </c>
      <c r="M26" s="34">
        <v>1</v>
      </c>
      <c r="N26" s="45">
        <v>5</v>
      </c>
      <c r="O26" s="45">
        <f>N26 * J26*3900*(1.6)^(K26)*M26/L26</f>
        <v>260000</v>
      </c>
      <c r="P26">
        <f>SUM(O26:O26)</f>
        <v>260000</v>
      </c>
    </row>
    <row r="27" spans="4:16" x14ac:dyDescent="0.3">
      <c r="H27" s="1" t="s">
        <v>364</v>
      </c>
      <c r="I27" s="46" t="s">
        <v>365</v>
      </c>
      <c r="J27" s="45">
        <v>0</v>
      </c>
      <c r="K27" s="45">
        <v>0</v>
      </c>
      <c r="L27" s="45">
        <v>1</v>
      </c>
      <c r="M27" s="34">
        <v>1</v>
      </c>
      <c r="N27" s="45">
        <v>0</v>
      </c>
      <c r="O27" s="45">
        <f t="shared" ref="O27:O29" si="3">N27 * J27*3900*(1.6)^(K27)*M27/L27</f>
        <v>0</v>
      </c>
      <c r="P27" s="40">
        <f>SUM(O27:O32)</f>
        <v>0</v>
      </c>
    </row>
    <row r="28" spans="4:16" x14ac:dyDescent="0.3">
      <c r="I28" s="46" t="s">
        <v>366</v>
      </c>
      <c r="J28" s="45">
        <v>0</v>
      </c>
      <c r="K28" s="45">
        <v>0</v>
      </c>
      <c r="L28" s="45">
        <v>1</v>
      </c>
      <c r="M28" s="34">
        <v>1</v>
      </c>
      <c r="N28" s="45">
        <v>0</v>
      </c>
      <c r="O28" s="45">
        <f t="shared" si="3"/>
        <v>0</v>
      </c>
    </row>
    <row r="29" spans="4:16" x14ac:dyDescent="0.3">
      <c r="I29" s="46" t="s">
        <v>367</v>
      </c>
      <c r="J29" s="45">
        <v>0</v>
      </c>
      <c r="K29" s="45">
        <v>0</v>
      </c>
      <c r="L29" s="45">
        <v>1</v>
      </c>
      <c r="M29" s="34">
        <v>1</v>
      </c>
      <c r="N29" s="45">
        <v>0</v>
      </c>
      <c r="O29" s="45">
        <f t="shared" si="3"/>
        <v>0</v>
      </c>
    </row>
    <row r="30" spans="4:16" x14ac:dyDescent="0.3">
      <c r="I30" s="46" t="s">
        <v>368</v>
      </c>
      <c r="J30" s="45">
        <v>0</v>
      </c>
      <c r="K30" s="45">
        <v>0</v>
      </c>
      <c r="L30" s="45">
        <v>1</v>
      </c>
      <c r="M30" s="34">
        <v>1</v>
      </c>
      <c r="N30" s="45">
        <v>0</v>
      </c>
      <c r="O30" s="45">
        <f t="shared" ref="O30:O31" si="4">N30 * J30*3900*(1.6)^(K30)*M30/L30</f>
        <v>0</v>
      </c>
    </row>
    <row r="31" spans="4:16" x14ac:dyDescent="0.3">
      <c r="I31" s="46" t="s">
        <v>369</v>
      </c>
      <c r="J31" s="45">
        <v>0</v>
      </c>
      <c r="K31" s="45">
        <v>0</v>
      </c>
      <c r="L31" s="45">
        <v>1</v>
      </c>
      <c r="M31" s="34">
        <v>1</v>
      </c>
      <c r="N31" s="45">
        <v>0</v>
      </c>
      <c r="O31" s="45">
        <f t="shared" si="4"/>
        <v>0</v>
      </c>
    </row>
    <row r="32" spans="4:16" x14ac:dyDescent="0.3">
      <c r="I32" s="46" t="s">
        <v>427</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3"/>
  <sheetViews>
    <sheetView workbookViewId="0">
      <selection activeCell="M9" sqref="M9"/>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479</v>
      </c>
    </row>
    <row r="2" spans="1:23" x14ac:dyDescent="0.3">
      <c r="C2" s="33" t="s">
        <v>410</v>
      </c>
      <c r="D2" s="33" t="s">
        <v>432</v>
      </c>
      <c r="E2" s="33" t="s">
        <v>476</v>
      </c>
      <c r="F2" s="33" t="s">
        <v>456</v>
      </c>
      <c r="G2" s="33" t="s">
        <v>457</v>
      </c>
      <c r="H2" s="33" t="s">
        <v>459</v>
      </c>
      <c r="I2" s="33" t="s">
        <v>455</v>
      </c>
      <c r="J2" s="33" t="s">
        <v>458</v>
      </c>
      <c r="K2" s="33" t="s">
        <v>497</v>
      </c>
      <c r="L2" s="33" t="s">
        <v>454</v>
      </c>
      <c r="N2" s="35" t="s">
        <v>464</v>
      </c>
      <c r="O2" s="35" t="s">
        <v>463</v>
      </c>
      <c r="P2" s="35" t="s">
        <v>465</v>
      </c>
      <c r="Q2" s="35" t="s">
        <v>462</v>
      </c>
      <c r="R2" s="35" t="s">
        <v>467</v>
      </c>
      <c r="S2" s="35" t="s">
        <v>466</v>
      </c>
      <c r="T2" s="35" t="s">
        <v>468</v>
      </c>
      <c r="U2" s="35" t="s">
        <v>469</v>
      </c>
      <c r="V2" s="35" t="s">
        <v>82</v>
      </c>
      <c r="W2" s="35" t="s">
        <v>478</v>
      </c>
    </row>
    <row r="3" spans="1:23" x14ac:dyDescent="0.3">
      <c r="B3" t="s">
        <v>480</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496</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482</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484</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481</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472</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483</v>
      </c>
      <c r="C10" s="24" t="s">
        <v>236</v>
      </c>
      <c r="D10" s="2" t="s">
        <v>498</v>
      </c>
    </row>
    <row r="11" spans="1:23" x14ac:dyDescent="0.3">
      <c r="A11" s="6" t="s">
        <v>150</v>
      </c>
      <c r="B11" s="6"/>
      <c r="C11" s="24"/>
      <c r="D11" s="2" t="s">
        <v>477</v>
      </c>
    </row>
    <row r="12" spans="1:23" x14ac:dyDescent="0.3">
      <c r="A12" s="15" t="s">
        <v>149</v>
      </c>
      <c r="B12" s="15"/>
      <c r="D12" s="2" t="s">
        <v>491</v>
      </c>
    </row>
    <row r="13" spans="1:23" x14ac:dyDescent="0.3">
      <c r="D13" s="2" t="s">
        <v>490</v>
      </c>
    </row>
    <row r="14" spans="1:23" x14ac:dyDescent="0.3">
      <c r="D14" s="2" t="s">
        <v>470</v>
      </c>
    </row>
    <row r="15" spans="1:23" x14ac:dyDescent="0.3">
      <c r="D15" s="2" t="s">
        <v>460</v>
      </c>
    </row>
    <row r="16" spans="1:23" x14ac:dyDescent="0.3">
      <c r="D16" s="2" t="s">
        <v>489</v>
      </c>
    </row>
    <row r="17" spans="2:12" x14ac:dyDescent="0.3">
      <c r="D17" s="2" t="s">
        <v>461</v>
      </c>
    </row>
    <row r="18" spans="2:12" x14ac:dyDescent="0.3">
      <c r="D18" s="2"/>
    </row>
    <row r="19" spans="2:12" x14ac:dyDescent="0.3">
      <c r="B19" s="2" t="s">
        <v>410</v>
      </c>
      <c r="J19" s="2" t="s">
        <v>432</v>
      </c>
    </row>
    <row r="20" spans="2:12" x14ac:dyDescent="0.3">
      <c r="B20" s="33" t="s">
        <v>410</v>
      </c>
      <c r="C20" s="35" t="s">
        <v>411</v>
      </c>
      <c r="D20" s="33" t="s">
        <v>414</v>
      </c>
      <c r="J20" s="33" t="s">
        <v>433</v>
      </c>
      <c r="K20" s="35" t="s">
        <v>411</v>
      </c>
      <c r="L20" s="33" t="s">
        <v>444</v>
      </c>
    </row>
    <row r="21" spans="2:12" x14ac:dyDescent="0.3">
      <c r="B21" t="s">
        <v>409</v>
      </c>
      <c r="C21" s="40">
        <v>1</v>
      </c>
      <c r="J21" t="s">
        <v>434</v>
      </c>
      <c r="K21" s="40">
        <v>1</v>
      </c>
      <c r="L21" t="s">
        <v>446</v>
      </c>
    </row>
    <row r="22" spans="2:12" x14ac:dyDescent="0.3">
      <c r="B22" t="s">
        <v>412</v>
      </c>
      <c r="C22" s="40">
        <v>2</v>
      </c>
      <c r="J22" t="s">
        <v>435</v>
      </c>
      <c r="K22" s="40">
        <v>1.5</v>
      </c>
      <c r="L22" t="s">
        <v>473</v>
      </c>
    </row>
    <row r="23" spans="2:12" x14ac:dyDescent="0.3">
      <c r="B23" t="s">
        <v>413</v>
      </c>
      <c r="C23" s="40">
        <v>3</v>
      </c>
      <c r="J23" t="s">
        <v>436</v>
      </c>
      <c r="K23" s="40">
        <v>2</v>
      </c>
      <c r="L23" t="s">
        <v>447</v>
      </c>
    </row>
    <row r="24" spans="2:12" x14ac:dyDescent="0.3">
      <c r="B24" t="s">
        <v>415</v>
      </c>
      <c r="C24" s="40">
        <v>4</v>
      </c>
      <c r="D24" t="s">
        <v>426</v>
      </c>
      <c r="J24" t="s">
        <v>437</v>
      </c>
      <c r="K24" s="44" t="s">
        <v>486</v>
      </c>
      <c r="L24" t="s">
        <v>485</v>
      </c>
    </row>
    <row r="25" spans="2:12" x14ac:dyDescent="0.3">
      <c r="B25" t="s">
        <v>416</v>
      </c>
      <c r="C25" s="40">
        <v>5</v>
      </c>
      <c r="D25" t="s">
        <v>423</v>
      </c>
      <c r="J25" t="s">
        <v>438</v>
      </c>
      <c r="K25" s="44" t="s">
        <v>487</v>
      </c>
      <c r="L25" t="s">
        <v>448</v>
      </c>
    </row>
    <row r="26" spans="2:12" x14ac:dyDescent="0.3">
      <c r="B26" t="s">
        <v>417</v>
      </c>
      <c r="C26" s="40">
        <v>6</v>
      </c>
      <c r="D26" t="s">
        <v>425</v>
      </c>
      <c r="G26" s="2" t="s">
        <v>499</v>
      </c>
      <c r="J26" t="s">
        <v>439</v>
      </c>
      <c r="K26" s="44" t="s">
        <v>488</v>
      </c>
      <c r="L26" t="s">
        <v>449</v>
      </c>
    </row>
    <row r="27" spans="2:12" x14ac:dyDescent="0.3">
      <c r="B27" t="s">
        <v>418</v>
      </c>
      <c r="C27" s="40">
        <v>7</v>
      </c>
      <c r="D27" t="s">
        <v>424</v>
      </c>
      <c r="G27" s="33" t="s">
        <v>410</v>
      </c>
      <c r="H27" s="35" t="s">
        <v>411</v>
      </c>
      <c r="J27" t="s">
        <v>440</v>
      </c>
      <c r="K27" s="40">
        <v>9</v>
      </c>
      <c r="L27" t="s">
        <v>452</v>
      </c>
    </row>
    <row r="28" spans="2:12" x14ac:dyDescent="0.3">
      <c r="B28" t="s">
        <v>419</v>
      </c>
      <c r="C28" s="40">
        <v>8</v>
      </c>
      <c r="G28" s="42" t="s">
        <v>501</v>
      </c>
      <c r="H28" s="40">
        <v>1</v>
      </c>
      <c r="J28" t="s">
        <v>441</v>
      </c>
      <c r="K28" s="40">
        <v>13</v>
      </c>
      <c r="L28" t="s">
        <v>453</v>
      </c>
    </row>
    <row r="29" spans="2:12" x14ac:dyDescent="0.3">
      <c r="B29" t="s">
        <v>420</v>
      </c>
      <c r="C29" s="40">
        <v>9</v>
      </c>
      <c r="G29" s="42" t="s">
        <v>500</v>
      </c>
      <c r="H29" s="40">
        <v>2</v>
      </c>
      <c r="J29" t="s">
        <v>442</v>
      </c>
      <c r="K29" s="40">
        <v>16</v>
      </c>
      <c r="L29" t="s">
        <v>471</v>
      </c>
    </row>
    <row r="30" spans="2:12" x14ac:dyDescent="0.3">
      <c r="B30" t="s">
        <v>421</v>
      </c>
      <c r="C30" s="44" t="s">
        <v>422</v>
      </c>
      <c r="G30" s="42" t="s">
        <v>502</v>
      </c>
      <c r="H30" s="40">
        <v>3</v>
      </c>
      <c r="J30" t="s">
        <v>443</v>
      </c>
      <c r="K30" s="40">
        <v>20</v>
      </c>
      <c r="L30" t="s">
        <v>451</v>
      </c>
    </row>
    <row r="31" spans="2:12" x14ac:dyDescent="0.3">
      <c r="G31" s="42" t="s">
        <v>503</v>
      </c>
      <c r="H31" s="40">
        <v>4</v>
      </c>
    </row>
    <row r="32" spans="2:12" x14ac:dyDescent="0.3">
      <c r="B32" t="s">
        <v>474</v>
      </c>
      <c r="C32" s="47" t="s">
        <v>475</v>
      </c>
      <c r="D32" s="44"/>
      <c r="G32" s="42" t="s">
        <v>504</v>
      </c>
      <c r="H32" s="40">
        <v>5</v>
      </c>
      <c r="J32" s="24" t="s">
        <v>236</v>
      </c>
      <c r="K32" s="2" t="s">
        <v>450</v>
      </c>
    </row>
    <row r="33" spans="11:11" x14ac:dyDescent="0.3">
      <c r="K33" s="2" t="s">
        <v>445</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82"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K30" sqref="K30"/>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387</v>
      </c>
    </row>
    <row r="3" spans="2:22" x14ac:dyDescent="0.3">
      <c r="C3" t="s">
        <v>123</v>
      </c>
      <c r="D3" t="s">
        <v>124</v>
      </c>
      <c r="E3" t="s">
        <v>125</v>
      </c>
      <c r="J3" t="s">
        <v>388</v>
      </c>
      <c r="K3" t="s">
        <v>389</v>
      </c>
      <c r="L3" t="s">
        <v>390</v>
      </c>
      <c r="M3" t="s">
        <v>394</v>
      </c>
      <c r="N3" t="s">
        <v>395</v>
      </c>
      <c r="O3" t="s">
        <v>393</v>
      </c>
      <c r="P3" t="s">
        <v>396</v>
      </c>
      <c r="Q3" t="s">
        <v>391</v>
      </c>
      <c r="R3" t="s">
        <v>399</v>
      </c>
      <c r="S3" t="s">
        <v>400</v>
      </c>
      <c r="T3" t="s">
        <v>392</v>
      </c>
      <c r="U3" t="s">
        <v>397</v>
      </c>
      <c r="V3" t="s">
        <v>398</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513</v>
      </c>
      <c r="I24" t="s">
        <v>511</v>
      </c>
      <c r="J24" t="s">
        <v>505</v>
      </c>
    </row>
    <row r="25" spans="3:15" x14ac:dyDescent="0.3">
      <c r="C25">
        <v>16</v>
      </c>
      <c r="D25">
        <f t="shared" si="11"/>
        <v>60000</v>
      </c>
      <c r="I25" t="s">
        <v>514</v>
      </c>
      <c r="K25" t="s">
        <v>506</v>
      </c>
      <c r="M25" t="s">
        <v>507</v>
      </c>
      <c r="O25" t="s">
        <v>508</v>
      </c>
    </row>
    <row r="26" spans="3:15" x14ac:dyDescent="0.3">
      <c r="C26">
        <v>17</v>
      </c>
      <c r="D26">
        <f t="shared" si="11"/>
        <v>65000</v>
      </c>
      <c r="J26" t="s">
        <v>509</v>
      </c>
      <c r="K26" t="str">
        <f>I25&amp;K25&amp;J26</f>
        <v>通用重甲攻击套</v>
      </c>
      <c r="M26" t="str">
        <f>I25&amp;M25&amp;J26</f>
        <v>通用中甲攻击套</v>
      </c>
      <c r="O26" t="str">
        <f>I25&amp;O25&amp;J26</f>
        <v>通用轻甲攻击套</v>
      </c>
    </row>
    <row r="27" spans="3:15" x14ac:dyDescent="0.3">
      <c r="C27">
        <v>18</v>
      </c>
      <c r="D27">
        <f t="shared" si="11"/>
        <v>70000</v>
      </c>
      <c r="J27" t="s">
        <v>510</v>
      </c>
      <c r="K27" t="str">
        <f>I25&amp;K25&amp;J27</f>
        <v>通用重甲一般套</v>
      </c>
      <c r="M27" t="str">
        <f>I25&amp;M25&amp;J27</f>
        <v>通用中甲一般套</v>
      </c>
      <c r="O27" t="str">
        <f>I25&amp;O25&amp;J27</f>
        <v>通用轻甲一般套</v>
      </c>
    </row>
    <row r="28" spans="3:15" x14ac:dyDescent="0.3">
      <c r="C28">
        <v>19</v>
      </c>
      <c r="D28">
        <f t="shared" si="11"/>
        <v>75000</v>
      </c>
      <c r="J28" t="s">
        <v>519</v>
      </c>
      <c r="K28" t="str">
        <f>I25&amp;K25&amp;J28</f>
        <v>通用重甲物防套</v>
      </c>
      <c r="M28" t="str">
        <f>I25&amp;M25&amp;J28</f>
        <v>通用中甲物防套</v>
      </c>
      <c r="O28" t="str">
        <f>I25&amp;O25&amp;J28</f>
        <v>通用轻甲物防套</v>
      </c>
    </row>
    <row r="29" spans="3:15" x14ac:dyDescent="0.3">
      <c r="C29">
        <v>20</v>
      </c>
      <c r="D29">
        <f t="shared" si="11"/>
        <v>80000</v>
      </c>
      <c r="J29" t="s">
        <v>520</v>
      </c>
      <c r="K29" t="str">
        <f>I25&amp;K25&amp;J29</f>
        <v>通用重甲魔抗套</v>
      </c>
      <c r="M29" t="str">
        <f>I25&amp;M25&amp;J29</f>
        <v>通用中甲魔抗套</v>
      </c>
      <c r="O29" t="str">
        <f>I25&amp;O25&amp;J29</f>
        <v>通用轻甲魔抗套</v>
      </c>
    </row>
    <row r="30" spans="3:15" x14ac:dyDescent="0.3">
      <c r="C30">
        <v>21</v>
      </c>
      <c r="D30">
        <f t="shared" si="11"/>
        <v>85000</v>
      </c>
      <c r="J30" t="s">
        <v>521</v>
      </c>
      <c r="K30" t="str">
        <f>I25&amp;K25&amp;J30</f>
        <v>通用重甲血防套</v>
      </c>
      <c r="M30" t="str">
        <f>I25&amp;M25&amp;J30</f>
        <v>通用中甲血防套</v>
      </c>
      <c r="O30" t="str">
        <f>I25&amp;O25&amp;J30</f>
        <v>通用轻甲血防套</v>
      </c>
    </row>
    <row r="31" spans="3:15" x14ac:dyDescent="0.3">
      <c r="C31">
        <v>22</v>
      </c>
      <c r="D31">
        <f t="shared" si="11"/>
        <v>90000</v>
      </c>
      <c r="I31" t="s">
        <v>512</v>
      </c>
      <c r="K31" t="s">
        <v>506</v>
      </c>
      <c r="M31" t="s">
        <v>507</v>
      </c>
      <c r="O31" t="s">
        <v>508</v>
      </c>
    </row>
    <row r="32" spans="3:15" x14ac:dyDescent="0.3">
      <c r="C32">
        <v>23</v>
      </c>
      <c r="D32">
        <f t="shared" si="11"/>
        <v>95000</v>
      </c>
      <c r="J32" t="s">
        <v>509</v>
      </c>
      <c r="K32" t="str">
        <f>I31&amp;K31&amp;J32</f>
        <v>刀剑重甲攻击套</v>
      </c>
      <c r="M32" t="str">
        <f>I31&amp;M31&amp;J32</f>
        <v>刀剑中甲攻击套</v>
      </c>
      <c r="O32" t="str">
        <f>I31&amp;O31&amp;J32</f>
        <v>刀剑轻甲攻击套</v>
      </c>
    </row>
    <row r="33" spans="3:15" x14ac:dyDescent="0.3">
      <c r="C33">
        <v>24</v>
      </c>
      <c r="D33">
        <f t="shared" si="11"/>
        <v>100000</v>
      </c>
      <c r="J33" t="s">
        <v>510</v>
      </c>
      <c r="K33" t="str">
        <f>I31&amp;K31&amp;J33</f>
        <v>刀剑重甲一般套</v>
      </c>
      <c r="M33" t="str">
        <f>I31&amp;M31&amp;J33</f>
        <v>刀剑中甲一般套</v>
      </c>
      <c r="O33" t="str">
        <f>I31&amp;O31&amp;J33</f>
        <v>刀剑轻甲一般套</v>
      </c>
    </row>
    <row r="34" spans="3:15" x14ac:dyDescent="0.3">
      <c r="C34">
        <v>25</v>
      </c>
      <c r="D34">
        <f t="shared" si="11"/>
        <v>105000</v>
      </c>
      <c r="J34" t="s">
        <v>519</v>
      </c>
      <c r="K34" t="str">
        <f>I31&amp;K31&amp;J34</f>
        <v>刀剑重甲物防套</v>
      </c>
      <c r="M34" t="str">
        <f>I31&amp;M31&amp;J34</f>
        <v>刀剑中甲物防套</v>
      </c>
      <c r="O34" t="str">
        <f>I31&amp;O31&amp;J34</f>
        <v>刀剑轻甲物防套</v>
      </c>
    </row>
    <row r="35" spans="3:15" x14ac:dyDescent="0.3">
      <c r="C35">
        <v>26</v>
      </c>
      <c r="D35">
        <f t="shared" si="11"/>
        <v>110000</v>
      </c>
      <c r="J35" t="s">
        <v>520</v>
      </c>
      <c r="K35" t="str">
        <f>I31&amp;K31&amp;J35</f>
        <v>刀剑重甲魔抗套</v>
      </c>
      <c r="M35" t="str">
        <f>I31&amp;M31&amp;J35</f>
        <v>刀剑中甲魔抗套</v>
      </c>
      <c r="O35" t="str">
        <f>I31&amp;O31&amp;J35</f>
        <v>刀剑轻甲魔抗套</v>
      </c>
    </row>
    <row r="36" spans="3:15" x14ac:dyDescent="0.3">
      <c r="C36">
        <v>27</v>
      </c>
      <c r="D36">
        <f t="shared" si="11"/>
        <v>115000</v>
      </c>
      <c r="J36" t="s">
        <v>521</v>
      </c>
      <c r="K36" t="str">
        <f>I31&amp;K31&amp;J36</f>
        <v>刀剑重甲血防套</v>
      </c>
      <c r="M36" t="str">
        <f>I31&amp;M31&amp;J36</f>
        <v>刀剑中甲血防套</v>
      </c>
      <c r="O36" t="str">
        <f>I31&amp;O31&amp;J36</f>
        <v>刀剑轻甲血防套</v>
      </c>
    </row>
    <row r="37" spans="3:15" x14ac:dyDescent="0.3">
      <c r="C37">
        <v>28</v>
      </c>
      <c r="D37">
        <f t="shared" si="11"/>
        <v>120000</v>
      </c>
      <c r="I37" t="s">
        <v>515</v>
      </c>
      <c r="K37" t="s">
        <v>506</v>
      </c>
      <c r="M37" t="s">
        <v>507</v>
      </c>
      <c r="O37" t="s">
        <v>508</v>
      </c>
    </row>
    <row r="38" spans="3:15" x14ac:dyDescent="0.3">
      <c r="C38">
        <v>29</v>
      </c>
      <c r="D38">
        <f t="shared" si="11"/>
        <v>125000</v>
      </c>
      <c r="J38" t="s">
        <v>509</v>
      </c>
      <c r="K38" t="str">
        <f>I37&amp;K37&amp;J38</f>
        <v>枪械重甲攻击套</v>
      </c>
      <c r="M38" t="str">
        <f>I37&amp;M37&amp;J38</f>
        <v>枪械中甲攻击套</v>
      </c>
      <c r="O38" t="str">
        <f>I37&amp;O37&amp;J38</f>
        <v>枪械轻甲攻击套</v>
      </c>
    </row>
    <row r="39" spans="3:15" x14ac:dyDescent="0.3">
      <c r="C39">
        <v>30</v>
      </c>
      <c r="D39">
        <f t="shared" si="11"/>
        <v>130000</v>
      </c>
      <c r="J39" t="s">
        <v>510</v>
      </c>
      <c r="K39" t="str">
        <f>I37&amp;K37&amp;J39</f>
        <v>枪械重甲一般套</v>
      </c>
      <c r="M39" t="str">
        <f>I37&amp;M37&amp;J39</f>
        <v>枪械中甲一般套</v>
      </c>
      <c r="O39" t="str">
        <f>I37&amp;O37&amp;J39</f>
        <v>枪械轻甲一般套</v>
      </c>
    </row>
    <row r="40" spans="3:15" x14ac:dyDescent="0.3">
      <c r="C40">
        <v>31</v>
      </c>
      <c r="D40">
        <f t="shared" si="11"/>
        <v>135000</v>
      </c>
      <c r="J40" t="s">
        <v>519</v>
      </c>
      <c r="K40" t="str">
        <f>I37&amp;K37&amp;J40</f>
        <v>枪械重甲物防套</v>
      </c>
      <c r="M40" t="str">
        <f>I37&amp;M37&amp;J40</f>
        <v>枪械中甲物防套</v>
      </c>
      <c r="O40" t="str">
        <f>I37&amp;O37&amp;J40</f>
        <v>枪械轻甲物防套</v>
      </c>
    </row>
    <row r="41" spans="3:15" x14ac:dyDescent="0.3">
      <c r="C41">
        <v>32</v>
      </c>
      <c r="D41">
        <f t="shared" si="11"/>
        <v>140000</v>
      </c>
      <c r="J41" t="s">
        <v>520</v>
      </c>
      <c r="K41" t="str">
        <f>I37&amp;K37&amp;J41</f>
        <v>枪械重甲魔抗套</v>
      </c>
      <c r="M41" t="str">
        <f>I37&amp;M37&amp;J41</f>
        <v>枪械中甲魔抗套</v>
      </c>
      <c r="O41" t="str">
        <f>I37&amp;O37&amp;J41</f>
        <v>枪械轻甲魔抗套</v>
      </c>
    </row>
    <row r="42" spans="3:15" x14ac:dyDescent="0.3">
      <c r="C42">
        <v>33</v>
      </c>
      <c r="D42">
        <f t="shared" si="11"/>
        <v>145000</v>
      </c>
      <c r="J42" t="s">
        <v>521</v>
      </c>
      <c r="K42" t="str">
        <f>I37&amp;K37&amp;J42</f>
        <v>枪械重甲血防套</v>
      </c>
      <c r="M42" t="str">
        <f>I37&amp;M37&amp;J42</f>
        <v>枪械中甲血防套</v>
      </c>
      <c r="O42" t="str">
        <f>I37&amp;O37&amp;J42</f>
        <v>枪械轻甲血防套</v>
      </c>
    </row>
    <row r="43" spans="3:15" x14ac:dyDescent="0.3">
      <c r="C43">
        <v>34</v>
      </c>
      <c r="D43">
        <f>C43*5000-20000</f>
        <v>150000</v>
      </c>
      <c r="I43" t="s">
        <v>516</v>
      </c>
      <c r="K43" t="s">
        <v>506</v>
      </c>
      <c r="M43" t="s">
        <v>507</v>
      </c>
      <c r="O43" t="s">
        <v>508</v>
      </c>
    </row>
    <row r="44" spans="3:15" x14ac:dyDescent="0.3">
      <c r="C44">
        <v>35</v>
      </c>
      <c r="D44">
        <f t="shared" si="11"/>
        <v>155000</v>
      </c>
      <c r="J44" t="s">
        <v>509</v>
      </c>
      <c r="K44" t="str">
        <f>I43&amp;K43&amp;J44</f>
        <v>拳皇重甲攻击套</v>
      </c>
      <c r="M44" t="str">
        <f>I43&amp;M43&amp;J44</f>
        <v>拳皇中甲攻击套</v>
      </c>
      <c r="O44" t="str">
        <f>I43&amp;O43&amp;J44</f>
        <v>拳皇轻甲攻击套</v>
      </c>
    </row>
    <row r="45" spans="3:15" x14ac:dyDescent="0.3">
      <c r="C45">
        <v>36</v>
      </c>
      <c r="D45">
        <f t="shared" si="11"/>
        <v>160000</v>
      </c>
      <c r="J45" t="s">
        <v>510</v>
      </c>
      <c r="K45" t="str">
        <f>I43&amp;K43&amp;J45</f>
        <v>拳皇重甲一般套</v>
      </c>
      <c r="M45" t="str">
        <f>I43&amp;M43&amp;J45</f>
        <v>拳皇中甲一般套</v>
      </c>
      <c r="O45" t="str">
        <f>I43&amp;O43&amp;J45</f>
        <v>拳皇轻甲一般套</v>
      </c>
    </row>
    <row r="46" spans="3:15" x14ac:dyDescent="0.3">
      <c r="C46">
        <v>37</v>
      </c>
      <c r="D46">
        <f t="shared" si="11"/>
        <v>165000</v>
      </c>
      <c r="J46" t="s">
        <v>519</v>
      </c>
      <c r="K46" t="str">
        <f>I43&amp;K43&amp;J46</f>
        <v>拳皇重甲物防套</v>
      </c>
      <c r="M46" t="str">
        <f>I43&amp;M43&amp;J46</f>
        <v>拳皇中甲物防套</v>
      </c>
      <c r="O46" t="str">
        <f>I43&amp;O43&amp;J46</f>
        <v>拳皇轻甲物防套</v>
      </c>
    </row>
    <row r="47" spans="3:15" x14ac:dyDescent="0.3">
      <c r="C47">
        <v>38</v>
      </c>
      <c r="D47">
        <f t="shared" si="11"/>
        <v>170000</v>
      </c>
      <c r="J47" t="s">
        <v>520</v>
      </c>
      <c r="K47" t="str">
        <f>I43&amp;K43&amp;J47</f>
        <v>拳皇重甲魔抗套</v>
      </c>
      <c r="M47" t="str">
        <f>I43&amp;M43&amp;J47</f>
        <v>拳皇中甲魔抗套</v>
      </c>
      <c r="O47" t="str">
        <f>I43&amp;O43&amp;J47</f>
        <v>拳皇轻甲魔抗套</v>
      </c>
    </row>
    <row r="48" spans="3:15" x14ac:dyDescent="0.3">
      <c r="C48">
        <v>39</v>
      </c>
      <c r="D48">
        <f t="shared" si="11"/>
        <v>175000</v>
      </c>
      <c r="J48" t="s">
        <v>521</v>
      </c>
      <c r="K48" t="str">
        <f>I43&amp;K43&amp;J48</f>
        <v>拳皇重甲血防套</v>
      </c>
      <c r="M48" t="str">
        <f>I43&amp;M43&amp;J48</f>
        <v>拳皇中甲血防套</v>
      </c>
      <c r="O48" t="str">
        <f>I43&amp;O43&amp;J48</f>
        <v>拳皇轻甲血防套</v>
      </c>
    </row>
    <row r="49" spans="3:15" x14ac:dyDescent="0.3">
      <c r="C49">
        <v>40</v>
      </c>
      <c r="D49">
        <f t="shared" si="11"/>
        <v>180000</v>
      </c>
      <c r="I49" t="s">
        <v>517</v>
      </c>
      <c r="K49" t="s">
        <v>506</v>
      </c>
      <c r="M49" t="s">
        <v>507</v>
      </c>
      <c r="O49" t="s">
        <v>508</v>
      </c>
    </row>
    <row r="50" spans="3:15" x14ac:dyDescent="0.3">
      <c r="C50">
        <v>41</v>
      </c>
      <c r="D50">
        <f t="shared" si="11"/>
        <v>185000</v>
      </c>
      <c r="J50" t="s">
        <v>509</v>
      </c>
      <c r="K50" t="str">
        <f>I49&amp;K49&amp;J50</f>
        <v>刀内力重甲攻击套</v>
      </c>
      <c r="M50" t="str">
        <f>I49&amp;M49&amp;J50</f>
        <v>刀内力中甲攻击套</v>
      </c>
      <c r="O50" t="str">
        <f>I49&amp;O49&amp;J50</f>
        <v>刀内力轻甲攻击套</v>
      </c>
    </row>
    <row r="51" spans="3:15" x14ac:dyDescent="0.3">
      <c r="C51">
        <v>42</v>
      </c>
      <c r="D51">
        <f t="shared" si="11"/>
        <v>190000</v>
      </c>
      <c r="J51" t="s">
        <v>510</v>
      </c>
      <c r="K51" t="str">
        <f>I49&amp;K49&amp;J51</f>
        <v>刀内力重甲一般套</v>
      </c>
      <c r="M51" t="str">
        <f>I49&amp;M49&amp;J51</f>
        <v>刀内力中甲一般套</v>
      </c>
      <c r="O51" t="str">
        <f>I49&amp;O49&amp;J51</f>
        <v>刀内力轻甲一般套</v>
      </c>
    </row>
    <row r="52" spans="3:15" x14ac:dyDescent="0.3">
      <c r="C52">
        <v>43</v>
      </c>
      <c r="D52">
        <f t="shared" si="11"/>
        <v>195000</v>
      </c>
      <c r="J52" t="s">
        <v>519</v>
      </c>
      <c r="K52" t="str">
        <f>I49&amp;K49&amp;J52</f>
        <v>刀内力重甲物防套</v>
      </c>
      <c r="M52" t="str">
        <f>I49&amp;M49&amp;J52</f>
        <v>刀内力中甲物防套</v>
      </c>
      <c r="O52" t="str">
        <f>I49&amp;O49&amp;J52</f>
        <v>刀内力轻甲物防套</v>
      </c>
    </row>
    <row r="53" spans="3:15" x14ac:dyDescent="0.3">
      <c r="C53">
        <v>44</v>
      </c>
      <c r="D53">
        <f t="shared" si="11"/>
        <v>200000</v>
      </c>
      <c r="J53" t="s">
        <v>520</v>
      </c>
      <c r="K53" t="str">
        <f>I49&amp;K49&amp;J53</f>
        <v>刀内力重甲魔抗套</v>
      </c>
      <c r="M53" t="str">
        <f>I49&amp;M49&amp;J53</f>
        <v>刀内力中甲魔抗套</v>
      </c>
      <c r="O53" t="str">
        <f>I49&amp;O49&amp;J53</f>
        <v>刀内力轻甲魔抗套</v>
      </c>
    </row>
    <row r="54" spans="3:15" x14ac:dyDescent="0.3">
      <c r="C54">
        <v>45</v>
      </c>
      <c r="D54">
        <f t="shared" si="11"/>
        <v>205000</v>
      </c>
      <c r="J54" t="s">
        <v>521</v>
      </c>
      <c r="K54" t="str">
        <f>I49&amp;K49&amp;J54</f>
        <v>刀内力重甲血防套</v>
      </c>
      <c r="M54" t="str">
        <f>I49&amp;M49&amp;J54</f>
        <v>刀内力中甲血防套</v>
      </c>
      <c r="O54" t="str">
        <f>I49&amp;O49&amp;J54</f>
        <v>刀内力轻甲血防套</v>
      </c>
    </row>
    <row r="55" spans="3:15" x14ac:dyDescent="0.3">
      <c r="C55">
        <v>46</v>
      </c>
      <c r="D55">
        <f t="shared" si="11"/>
        <v>210000</v>
      </c>
      <c r="I55" t="s">
        <v>518</v>
      </c>
      <c r="K55" t="s">
        <v>506</v>
      </c>
      <c r="M55" t="s">
        <v>507</v>
      </c>
      <c r="O55" t="s">
        <v>508</v>
      </c>
    </row>
    <row r="56" spans="3:15" x14ac:dyDescent="0.3">
      <c r="C56">
        <v>47</v>
      </c>
      <c r="D56">
        <f t="shared" si="11"/>
        <v>215000</v>
      </c>
      <c r="J56" t="s">
        <v>509</v>
      </c>
      <c r="K56" t="str">
        <f>I55&amp;K55&amp;J56</f>
        <v>拳内力重甲攻击套</v>
      </c>
      <c r="M56" t="str">
        <f>I55&amp;M55&amp;J56</f>
        <v>拳内力中甲攻击套</v>
      </c>
      <c r="O56" t="str">
        <f>I55&amp;O55&amp;J56</f>
        <v>拳内力轻甲攻击套</v>
      </c>
    </row>
    <row r="57" spans="3:15" x14ac:dyDescent="0.3">
      <c r="C57">
        <v>48</v>
      </c>
      <c r="D57">
        <f t="shared" si="11"/>
        <v>220000</v>
      </c>
      <c r="J57" t="s">
        <v>510</v>
      </c>
      <c r="K57" t="str">
        <f>I55&amp;K55&amp;J57</f>
        <v>拳内力重甲一般套</v>
      </c>
      <c r="M57" t="str">
        <f>I55&amp;M55&amp;J57</f>
        <v>拳内力中甲一般套</v>
      </c>
      <c r="O57" t="str">
        <f>I55&amp;O55&amp;J57</f>
        <v>拳内力轻甲一般套</v>
      </c>
    </row>
    <row r="58" spans="3:15" x14ac:dyDescent="0.3">
      <c r="C58">
        <v>49</v>
      </c>
      <c r="D58">
        <f t="shared" si="11"/>
        <v>225000</v>
      </c>
      <c r="J58" t="s">
        <v>519</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520</v>
      </c>
      <c r="K59" t="str">
        <f>I55&amp;K55&amp;J59</f>
        <v>拳内力重甲魔抗套</v>
      </c>
      <c r="M59" t="str">
        <f>I55&amp;M55&amp;J59</f>
        <v>拳内力中甲魔抗套</v>
      </c>
      <c r="O59" t="str">
        <f>I55&amp;O55&amp;J59</f>
        <v>拳内力轻甲魔抗套</v>
      </c>
    </row>
    <row r="60" spans="3:15" x14ac:dyDescent="0.3">
      <c r="C60">
        <v>51</v>
      </c>
      <c r="D60">
        <f t="shared" si="12"/>
        <v>275000</v>
      </c>
      <c r="J60" t="s">
        <v>521</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2025-03-12T12:50:24Z</dcterms:modified>
</cp:coreProperties>
</file>