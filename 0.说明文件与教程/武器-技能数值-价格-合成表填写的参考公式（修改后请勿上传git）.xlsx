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1A4FA141-5B37-4729-9580-C94818E953A1}" xr6:coauthVersionLast="47" xr6:coauthVersionMax="47" xr10:uidLastSave="{00000000-0000-0000-0000-000000000000}"/>
  <bookViews>
    <workbookView xWindow="-110" yWindow="-110" windowWidth="25820" windowHeight="13900" tabRatio="651" xr2:uid="{00000000-000D-0000-FFFF-FFFF00000000}"/>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经验辅助计算" sheetId="6" r:id="rId9"/>
    <sheet name="技能格式" sheetId="4" r:id="rId10"/>
    <sheet name="等级计算怪物属性" sheetId="7" r:id="rId11"/>
    <sheet name="伤害公式" sheetId="8" r:id="rId12"/>
    <sheet name="其余计算" sheetId="9" r:id="rId13"/>
    <sheet name="旧版-枪械" sheetId="1" r:id="rId14"/>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T4" i="14" l="1"/>
  <c r="T5" i="14"/>
  <c r="T6" i="14"/>
  <c r="T7" i="14"/>
  <c r="T8" i="14"/>
  <c r="T3" i="14"/>
  <c r="S4" i="14"/>
  <c r="S5" i="14"/>
  <c r="S6" i="14"/>
  <c r="S7" i="14"/>
  <c r="S8" i="14"/>
  <c r="S3" i="14"/>
  <c r="U4" i="14"/>
  <c r="U5" i="14"/>
  <c r="V5" i="14" s="1"/>
  <c r="U6" i="14"/>
  <c r="V6" i="14" s="1"/>
  <c r="U7" i="14"/>
  <c r="V7" i="14" s="1"/>
  <c r="U8" i="14"/>
  <c r="V8" i="14" s="1"/>
  <c r="V4" i="14"/>
  <c r="U3" i="14"/>
  <c r="V3" i="14" s="1"/>
  <c r="O8" i="14"/>
  <c r="O3" i="14"/>
  <c r="O4" i="14"/>
  <c r="O5" i="14"/>
  <c r="O6" i="14"/>
  <c r="O7" i="14"/>
  <c r="P4" i="14"/>
  <c r="P8" i="14"/>
  <c r="P5" i="14"/>
  <c r="P6" i="14"/>
  <c r="P7" i="14"/>
  <c r="P3" i="14"/>
  <c r="M3" i="14"/>
  <c r="N3" i="14"/>
  <c r="Q3" i="14"/>
  <c r="R3" i="14"/>
  <c r="M4" i="14"/>
  <c r="N4" i="14"/>
  <c r="Q4" i="14"/>
  <c r="R4" i="14"/>
  <c r="M5" i="14"/>
  <c r="N5" i="14"/>
  <c r="Q5" i="14"/>
  <c r="R5" i="14"/>
  <c r="M6" i="14"/>
  <c r="N6" i="14"/>
  <c r="Q6" i="14"/>
  <c r="R6" i="14"/>
  <c r="M7" i="14"/>
  <c r="N7" i="14"/>
  <c r="Q7" i="14"/>
  <c r="R7" i="14"/>
  <c r="N8" i="14"/>
  <c r="R8" i="14"/>
  <c r="Q8" i="14"/>
  <c r="M8" i="14"/>
  <c r="F110" i="7"/>
  <c r="F111" i="7"/>
  <c r="F112" i="7"/>
  <c r="M6" i="13"/>
  <c r="M4" i="13"/>
  <c r="M5" i="13"/>
  <c r="M3" i="13"/>
  <c r="L14" i="13"/>
  <c r="L15" i="13"/>
  <c r="L22" i="13"/>
  <c r="L19" i="13"/>
  <c r="O32" i="13"/>
  <c r="K13" i="3"/>
  <c r="K12" i="3"/>
  <c r="O16" i="10"/>
  <c r="O15" i="10"/>
  <c r="O4" i="10"/>
  <c r="O5" i="10"/>
  <c r="O6" i="10"/>
  <c r="O7" i="10"/>
  <c r="O8" i="10"/>
  <c r="O9" i="10"/>
  <c r="O3" i="10"/>
  <c r="S13" i="10"/>
  <c r="T13" i="10"/>
  <c r="P10" i="10" l="1"/>
  <c r="O30" i="13"/>
  <c r="O31" i="13"/>
  <c r="O27" i="13"/>
  <c r="O28" i="13"/>
  <c r="O29" i="13"/>
  <c r="O5" i="9"/>
  <c r="O6" i="9"/>
  <c r="O7" i="9"/>
  <c r="O8" i="9"/>
  <c r="O9" i="9"/>
  <c r="O10" i="9"/>
  <c r="O11" i="9"/>
  <c r="O12" i="9"/>
  <c r="O13" i="9"/>
  <c r="O14" i="9"/>
  <c r="O15" i="9"/>
  <c r="O16" i="9"/>
  <c r="O4" i="9"/>
  <c r="S5" i="9"/>
  <c r="S6" i="9"/>
  <c r="S7" i="9"/>
  <c r="S8" i="9"/>
  <c r="S9" i="9"/>
  <c r="S10" i="9"/>
  <c r="S11" i="9"/>
  <c r="S12" i="9"/>
  <c r="S13" i="9"/>
  <c r="S14" i="9"/>
  <c r="S15" i="9"/>
  <c r="S16" i="9"/>
  <c r="S4" i="9"/>
  <c r="R5" i="9"/>
  <c r="R6" i="9"/>
  <c r="R7" i="9"/>
  <c r="R8" i="9"/>
  <c r="R9" i="9"/>
  <c r="R10" i="9"/>
  <c r="R11" i="9"/>
  <c r="R12" i="9"/>
  <c r="R13" i="9"/>
  <c r="R14" i="9"/>
  <c r="R15" i="9"/>
  <c r="R16" i="9"/>
  <c r="R4" i="9"/>
  <c r="P5" i="9"/>
  <c r="P6" i="9"/>
  <c r="P7" i="9"/>
  <c r="P8" i="9"/>
  <c r="P9" i="9"/>
  <c r="P10" i="9"/>
  <c r="P11" i="9"/>
  <c r="P12" i="9"/>
  <c r="P13" i="9"/>
  <c r="P14" i="9"/>
  <c r="P15" i="9"/>
  <c r="P16" i="9"/>
  <c r="P4" i="9"/>
  <c r="L5" i="9"/>
  <c r="L6" i="9"/>
  <c r="L7" i="9"/>
  <c r="L8" i="9"/>
  <c r="L9" i="9"/>
  <c r="L10" i="9"/>
  <c r="L11" i="9"/>
  <c r="L12" i="9"/>
  <c r="L13" i="9"/>
  <c r="L14" i="9"/>
  <c r="L15" i="9"/>
  <c r="L4" i="9"/>
  <c r="N5" i="9" s="1"/>
  <c r="K5" i="9"/>
  <c r="K6" i="9"/>
  <c r="K7" i="9"/>
  <c r="K8" i="9"/>
  <c r="K9" i="9"/>
  <c r="K10" i="9"/>
  <c r="K11" i="9"/>
  <c r="K12" i="9"/>
  <c r="K13" i="9"/>
  <c r="K14" i="9"/>
  <c r="K15" i="9"/>
  <c r="K4" i="9"/>
  <c r="M5" i="9" s="1"/>
  <c r="AC10" i="12"/>
  <c r="AC13" i="12"/>
  <c r="AC4" i="12"/>
  <c r="AC5" i="12"/>
  <c r="AC3" i="12"/>
  <c r="AF4" i="12"/>
  <c r="AF5" i="12"/>
  <c r="AF10" i="12"/>
  <c r="AF11" i="12"/>
  <c r="AF13" i="12"/>
  <c r="AF14" i="12"/>
  <c r="AF3" i="12"/>
  <c r="AA10" i="12"/>
  <c r="AA3" i="12"/>
  <c r="AD3" i="12"/>
  <c r="AD4" i="12"/>
  <c r="AD5" i="12"/>
  <c r="AD6" i="12"/>
  <c r="AD7" i="12"/>
  <c r="AD8" i="12"/>
  <c r="AD10" i="12"/>
  <c r="AD11" i="12"/>
  <c r="AD12" i="12"/>
  <c r="AD13" i="12"/>
  <c r="AD14" i="12"/>
  <c r="AD15" i="12"/>
  <c r="AE4" i="12"/>
  <c r="AE5" i="12"/>
  <c r="AE6" i="12"/>
  <c r="AF6" i="12" s="1"/>
  <c r="AE7" i="12"/>
  <c r="AF7" i="12" s="1"/>
  <c r="AE8" i="12"/>
  <c r="AF8" i="12" s="1"/>
  <c r="AE10" i="12"/>
  <c r="AE11" i="12"/>
  <c r="AE12" i="12"/>
  <c r="AF12" i="12" s="1"/>
  <c r="AE13" i="12"/>
  <c r="AE14" i="12"/>
  <c r="AE15" i="12"/>
  <c r="AF15" i="12" s="1"/>
  <c r="AE3" i="12"/>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F17" i="12" l="1"/>
  <c r="P27" i="13"/>
  <c r="T5" i="9"/>
  <c r="M16" i="9"/>
  <c r="Q16" i="9" s="1"/>
  <c r="M7" i="9"/>
  <c r="Q7" i="9" s="1"/>
  <c r="M6" i="9"/>
  <c r="Q6" i="9" s="1"/>
  <c r="V5" i="9"/>
  <c r="M14" i="9"/>
  <c r="U14" i="9" s="1"/>
  <c r="U5" i="9"/>
  <c r="T6" i="9"/>
  <c r="Q5" i="9"/>
  <c r="M9" i="9"/>
  <c r="Q9" i="9" s="1"/>
  <c r="N15" i="9"/>
  <c r="V15" i="9" s="1"/>
  <c r="M15" i="9"/>
  <c r="U15" i="9" s="1"/>
  <c r="M13" i="9"/>
  <c r="U13" i="9" s="1"/>
  <c r="N16" i="9"/>
  <c r="V16" i="9" s="1"/>
  <c r="N12" i="9"/>
  <c r="V12" i="9" s="1"/>
  <c r="N11" i="9"/>
  <c r="V11" i="9" s="1"/>
  <c r="N10" i="9"/>
  <c r="V10" i="9" s="1"/>
  <c r="N9" i="9"/>
  <c r="V9" i="9" s="1"/>
  <c r="M10" i="9"/>
  <c r="Q10" i="9" s="1"/>
  <c r="N7" i="9"/>
  <c r="V7" i="9" s="1"/>
  <c r="M12" i="9"/>
  <c r="Q12" i="9" s="1"/>
  <c r="N6" i="9"/>
  <c r="V6" i="9" s="1"/>
  <c r="M8" i="9"/>
  <c r="Q8" i="9" s="1"/>
  <c r="N14" i="9"/>
  <c r="V14" i="9" s="1"/>
  <c r="N13" i="9"/>
  <c r="V13" i="9" s="1"/>
  <c r="N8" i="9"/>
  <c r="V8" i="9" s="1"/>
  <c r="M11" i="9"/>
  <c r="U11" i="9" s="1"/>
  <c r="P24" i="11"/>
  <c r="P25" i="11"/>
  <c r="P26" i="11"/>
  <c r="P23" i="11"/>
  <c r="O4" i="13"/>
  <c r="O5" i="13"/>
  <c r="O6" i="13"/>
  <c r="O3" i="13"/>
  <c r="O26" i="13"/>
  <c r="P26" i="13" s="1"/>
  <c r="L16" i="13"/>
  <c r="L17" i="13"/>
  <c r="L18" i="13"/>
  <c r="L20" i="13"/>
  <c r="L21" i="13"/>
  <c r="L13" i="13"/>
  <c r="M13" i="13" s="1"/>
  <c r="Q25" i="11"/>
  <c r="Q26" i="11"/>
  <c r="Q24" i="11"/>
  <c r="Q23" i="11"/>
  <c r="M14" i="13" l="1"/>
  <c r="T7" i="9"/>
  <c r="T9" i="9"/>
  <c r="T10" i="9"/>
  <c r="T11" i="9"/>
  <c r="T16" i="9"/>
  <c r="Q13" i="9"/>
  <c r="U7" i="9"/>
  <c r="T13" i="9"/>
  <c r="T14" i="9"/>
  <c r="U12" i="9"/>
  <c r="U16" i="9"/>
  <c r="Q14" i="9"/>
  <c r="T15" i="9"/>
  <c r="U8" i="9"/>
  <c r="U9" i="9"/>
  <c r="U10" i="9"/>
  <c r="Q11" i="9"/>
  <c r="Q15" i="9"/>
  <c r="T8" i="9"/>
  <c r="U6" i="9"/>
  <c r="T12" i="9"/>
  <c r="N24" i="11"/>
  <c r="P3" i="11"/>
  <c r="J16" i="2"/>
  <c r="J4" i="2"/>
  <c r="J3" i="2"/>
  <c r="J16" i="5"/>
  <c r="K17" i="5"/>
  <c r="K18" i="5"/>
  <c r="K19" i="5"/>
  <c r="K16" i="5"/>
  <c r="J17" i="5"/>
  <c r="J18" i="5"/>
  <c r="J19" i="5"/>
  <c r="K6" i="5"/>
  <c r="K7" i="5"/>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J17" i="8"/>
  <c r="J18" i="8"/>
  <c r="P3" i="10"/>
  <c r="Q3" i="10" s="1"/>
  <c r="P9" i="10"/>
  <c r="Q9" i="10" s="1"/>
  <c r="P4" i="10"/>
  <c r="Q4" i="10" s="1"/>
  <c r="P5" i="10"/>
  <c r="Q5" i="10" s="1"/>
  <c r="P6" i="10"/>
  <c r="Q6" i="10" s="1"/>
  <c r="P7" i="10"/>
  <c r="Q7" i="10" s="1"/>
  <c r="P8" i="10"/>
  <c r="Q8" i="10" s="1"/>
  <c r="N4" i="11"/>
  <c r="O4" i="11"/>
  <c r="P4" i="11" s="1"/>
  <c r="O3" i="11"/>
  <c r="J14" i="11"/>
  <c r="J15" i="11"/>
  <c r="J16" i="11"/>
  <c r="J17" i="11"/>
  <c r="J18" i="11"/>
  <c r="J13" i="11"/>
  <c r="N3" i="11"/>
  <c r="N9" i="11"/>
  <c r="N10" i="11"/>
  <c r="D18" i="8"/>
  <c r="D21" i="8"/>
  <c r="F21" i="8" s="1"/>
  <c r="G21" i="8" s="1"/>
  <c r="P16" i="10"/>
  <c r="Q16" i="10" s="1"/>
  <c r="P15" i="10"/>
  <c r="Q15" i="10" s="1"/>
  <c r="T9" i="10"/>
  <c r="S9" i="10"/>
  <c r="T3" i="10"/>
  <c r="T4" i="10"/>
  <c r="T5" i="10"/>
  <c r="T6" i="10"/>
  <c r="T7" i="10"/>
  <c r="T8" i="10"/>
  <c r="T10" i="10"/>
  <c r="S3" i="10"/>
  <c r="S4" i="10"/>
  <c r="S5" i="10"/>
  <c r="S6" i="10"/>
  <c r="S7" i="10"/>
  <c r="S8" i="10"/>
  <c r="S10" i="10"/>
  <c r="Q10" i="10"/>
  <c r="O10" i="10" s="1"/>
  <c r="N16" i="5"/>
  <c r="N7" i="5"/>
  <c r="U8" i="8"/>
  <c r="W8" i="8"/>
  <c r="U7" i="8"/>
  <c r="U6" i="8"/>
  <c r="W7" i="8"/>
  <c r="W6" i="8"/>
  <c r="C32" i="8"/>
  <c r="C31" i="8"/>
  <c r="S30" i="8"/>
  <c r="S29" i="8"/>
  <c r="O8" i="8"/>
  <c r="O23" i="8"/>
  <c r="O25" i="8"/>
  <c r="O26" i="8"/>
  <c r="O27" i="8"/>
  <c r="O28"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O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L21" i="4"/>
  <c r="L22" i="4"/>
  <c r="L20" i="4"/>
  <c r="L3" i="4"/>
  <c r="L4" i="4"/>
  <c r="L5" i="4"/>
  <c r="O32" i="8" l="1"/>
  <c r="AM15" i="12"/>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O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A12" i="12" s="1"/>
  <c r="AC12" i="12" s="1"/>
  <c r="Q15" i="12"/>
  <c r="AN15" i="12"/>
  <c r="AL11" i="12"/>
  <c r="AA11" i="12" s="1"/>
  <c r="AC11" i="12" s="1"/>
  <c r="Q11" i="12"/>
  <c r="AN11" i="12"/>
  <c r="Q5" i="12"/>
  <c r="AL4" i="12"/>
  <c r="AA4" i="12" s="1"/>
  <c r="AL5" i="12"/>
  <c r="AA5" i="12" s="1"/>
  <c r="AL10" i="12"/>
  <c r="Q10" i="12"/>
  <c r="AL14" i="12"/>
  <c r="AA14" i="12" s="1"/>
  <c r="AC14" i="12" s="1"/>
  <c r="Q6" i="12"/>
  <c r="AL6" i="12"/>
  <c r="AA6" i="12" s="1"/>
  <c r="AC6" i="12" s="1"/>
  <c r="AL3" i="12"/>
  <c r="Q13" i="12"/>
  <c r="AL13" i="12"/>
  <c r="AA13" i="12" s="1"/>
  <c r="AL15" i="12"/>
  <c r="AA15" i="12" s="1"/>
  <c r="AC15" i="12" s="1"/>
  <c r="AL7" i="12"/>
  <c r="AA7" i="12" s="1"/>
  <c r="AC7" i="12" s="1"/>
  <c r="AL8" i="12"/>
  <c r="AA8" i="12" s="1"/>
  <c r="AC8" i="12" s="1"/>
  <c r="Q3" i="12"/>
  <c r="Q7" i="12"/>
  <c r="Q8" i="12"/>
  <c r="Q14" i="12"/>
  <c r="Q12" i="12"/>
  <c r="Q4" i="12"/>
  <c r="O17" i="8"/>
  <c r="L19" i="8"/>
  <c r="L22" i="8"/>
  <c r="O21" i="8"/>
  <c r="L21" i="8"/>
  <c r="O18" i="8"/>
  <c r="L18" i="8"/>
  <c r="K46" i="8"/>
  <c r="O43" i="8"/>
  <c r="V5" i="12" l="1"/>
  <c r="V3" i="12"/>
  <c r="V10" i="12"/>
  <c r="V13" i="12"/>
  <c r="V14" i="12"/>
  <c r="V12" i="12"/>
  <c r="V15" i="12"/>
  <c r="V4" i="12"/>
  <c r="V8"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<sst xmlns="http://schemas.openxmlformats.org/spreadsheetml/2006/main" count="727" uniqueCount="497">
  <si>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</si>
  <si>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</si>
  <si>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</si>
  <si>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</si>
  <si>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</si>
  <si>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</si>
  <si>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</si>
  <si>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</si>
  <si>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</si>
  <si>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</si>
  <si>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</si>
  <si>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</si>
  <si>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</si>
  <si>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</si>
  <si>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</si>
  <si>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</si>
  <si>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</si>
  <si>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</si>
  <si>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</si>
  <si>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</si>
  <si>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</si>
  <si>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</si>
  <si>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</si>
  <si>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</si>
  <si>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</si>
  <si>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</si>
  <si>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</si>
  <si>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</si>
  <si>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</si>
  <si>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</si>
  <si>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</si>
  <si>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</si>
  <si>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</si>
  <si>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</si>
  <si>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</si>
  <si>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</si>
  <si>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</si>
  <si>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</si>
  <si>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</si>
  <si>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</si>
  <si>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</si>
  <si>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</si>
  <si>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</si>
  <si>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</si>
  <si>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</si>
  <si>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</si>
  <si>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</si>
  <si>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</si>
  <si>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</si>
  <si>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</si>
  <si>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</si>
  <si>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</si>
  <si>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</si>
  <si>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</si>
  <si>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</si>
  <si>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</si>
  <si>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</si>
  <si>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</si>
  <si>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</si>
  <si>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</si>
  <si>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</si>
  <si>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</si>
  <si>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</si>
  <si>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</si>
  <si>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</si>
  <si>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</si>
  <si>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</si>
  <si>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</si>
  <si>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</si>
  <si>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</si>
  <si>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</si>
  <si>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</si>
  <si>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</si>
  <si>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</si>
  <si>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</si>
  <si>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</si>
  <si>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</si>
  <si>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</si>
  <si>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</si>
  <si>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</si>
  <si>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</si>
  <si>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</si>
  <si>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</si>
  <si>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</si>
  <si>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</si>
  <si>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</si>
  <si>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</si>
  <si>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</si>
  <si>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</si>
  <si>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</si>
  <si>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</si>
  <si>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</si>
  <si>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</si>
  <si>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</si>
  <si>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</si>
  <si>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</si>
  <si>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</si>
  <si>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</si>
  <si>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</si>
  <si>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</si>
  <si>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</si>
  <si>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</si>
  <si>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</si>
  <si>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</si>
  <si>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</si>
  <si>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</si>
  <si>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</si>
  <si>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</si>
  <si>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</si>
  <si>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</si>
  <si>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</si>
  <si>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</si>
  <si>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</si>
  <si>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</si>
  <si>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</si>
  <si>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</si>
  <si>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</si>
  <si>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</si>
  <si>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</si>
  <si>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</si>
  <si>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</si>
  <si>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</si>
  <si>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</si>
  <si>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</si>
  <si>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</si>
  <si>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</si>
  <si>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</si>
  <si>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</si>
  <si>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</si>
  <si>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</si>
  <si>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</si>
  <si>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</si>
  <si>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</si>
  <si>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</si>
  <si>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</si>
  <si>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</si>
  <si>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</si>
  <si>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</si>
  <si>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</si>
  <si>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</si>
  <si>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</si>
  <si>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</si>
  <si>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</si>
  <si>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</si>
  <si>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</si>
  <si>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</si>
  <si>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</si>
  <si>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</si>
  <si>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</si>
  <si>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</si>
  <si>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</si>
  <si>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</si>
  <si>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</si>
  <si>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</si>
  <si>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</si>
  <si>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</si>
  <si>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</si>
  <si>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</si>
  <si>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</si>
  <si>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</si>
  <si>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</si>
  <si>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</si>
  <si>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</si>
  <si>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</si>
  <si>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</si>
  <si>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</si>
  <si>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种类系数：有主动战技/特效的可为1.5，效果极其强力时为2</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</si>
  <si>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</si>
  <si>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</si>
  <si>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</si>
  <si>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</si>
  <si>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</si>
  <si>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</si>
  <si>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</si>
  <si>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</si>
  <si>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</si>
  <si>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</si>
  <si>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</si>
  <si>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</si>
  <si>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</si>
  <si>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</si>
  <si>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</si>
  <si>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</si>
  <si>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</si>
  <si>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</si>
  <si>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</si>
  <si>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</si>
  <si>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</si>
  <si>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</si>
  <si>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</si>
  <si>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</si>
  <si>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</si>
  <si>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</si>
  <si>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</si>
  <si>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</si>
  <si>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</si>
  <si>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</si>
  <si>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</si>
  <si>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</si>
  <si>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</si>
  <si>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</si>
  <si>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</si>
  <si>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</si>
  <si>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</si>
  <si>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</si>
  <si>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</si>
  <si>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</si>
  <si>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</si>
  <si>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</si>
  <si>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</si>
  <si>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</si>
  <si>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</si>
  <si>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</si>
  <si>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</si>
  <si>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</si>
  <si>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</si>
  <si>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</si>
  <si>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</si>
  <si>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</si>
  <si>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</si>
  <si>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</si>
  <si>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</si>
  <si>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</si>
  <si>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</si>
  <si>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</si>
  <si>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</si>
  <si>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</si>
  <si>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</si>
  <si>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</si>
  <si>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</si>
  <si>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</si>
  <si>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</si>
  <si>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</si>
  <si>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</si>
  <si>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</si>
  <si>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</si>
  <si>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</si>
  <si>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</si>
  <si>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</si>
  <si>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</si>
  <si>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</si>
  <si>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</si>
  <si>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</si>
  <si>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</si>
  <si>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</si>
  <si>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</si>
  <si>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</si>
  <si>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</si>
  <si>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</si>
  <si>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</si>
  <si>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</si>
  <si>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</si>
  <si>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</si>
  <si>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</si>
  <si>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</si>
  <si>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</si>
  <si>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</si>
  <si>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</si>
  <si>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</si>
  <si>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</si>
  <si>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</si>
  <si>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</si>
  <si>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只有免费获取途径的装备，或免费获取途径早于可购买时的装备，均填-1层。</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</si>
  <si>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</si>
  <si>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</si>
  <si>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</si>
  <si>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</si>
  <si>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</si>
  <si>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</si>
  <si>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</si>
  <si>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</si>
  <si>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</si>
  <si>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</si>
  <si>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</si>
  <si>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</si>
  <si>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</si>
  <si>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</si>
  <si>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</si>
  <si>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</si>
  <si>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</si>
  <si>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喷火的穿刺系数为1.5，狙击枪穿刺系数为1.5，普通穿刺为2，非穿刺为1（其他拥有穿刺效果根据单体段数数量填入穿刺系数，段数较多时可填3或更高的穿刺系数）。</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</si>
  <si>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</si>
  <si>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</si>
  <si>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</si>
  <si>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</si>
  <si>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</si>
  <si>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</si>
  <si>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</si>
  <si>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</si>
  <si>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</si>
  <si>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</si>
  <si>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</si>
  <si>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</si>
  <si>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</si>
  <si>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</si>
  <si>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</si>
  <si>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</si>
  <si>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</si>
  <si>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</si>
  <si>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</si>
  <si>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</si>
  <si>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</si>
  <si>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</si>
  <si>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</si>
  <si>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</si>
  <si>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</si>
  <si>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</si>
  <si>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</si>
  <si>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</si>
  <si>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</si>
  <si>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</si>
  <si>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</si>
  <si>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</si>
  <si>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</si>
  <si>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</si>
  <si>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</si>
  <si>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短刀为0.5，常规刀为1，长武器为1.5，特效+0.5（强力特效则+1），战技+0.5（强力战技则+1）。</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</si>
  <si>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</si>
  <si>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</si>
  <si>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</si>
  <si>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重机枪为1.5，喷火器类为1.5，散弹枪为1.5，轰炸类为1.5，穿刺类为2。只掉落、无法金币或k点购买的武器为0.5，非购买途径明显早于购买途径的物品也为0.5。</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</si>
  <si>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</si>
  <si>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</si>
  <si>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</si>
  <si>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</si>
  <si>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</si>
  <si>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</si>
  <si>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</si>
  <si>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</si>
  <si>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</si>
  <si>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</si>
  <si>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超前武器需要减少一层加权，可减为负数。限制等级低于30级的穿刺武器、低于40级的属性伤害武器均视为超前武器。</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</si>
  <si>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</si>
  <si>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</si>
  <si>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</si>
  <si>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</si>
  <si>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</si>
  <si>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</si>
  <si>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</si>
  <si>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</si>
  <si>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</si>
  <si>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</si>
  <si>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</si>
  <si>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</si>
  <si>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</si>
  <si>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</si>
  <si>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</si>
  <si>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</si>
  <si>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</si>
  <si>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</si>
  <si>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</si>
  <si>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</si>
  <si>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</si>
  <si>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</si>
  <si>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</si>
  <si>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</si>
  <si>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</si>
  <si>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</si>
  <si>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</si>
  <si>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</si>
  <si>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</si>
  <si>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</si>
  <si>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</si>
  <si>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</si>
  <si>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</si>
  <si>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</si>
  <si>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</si>
  <si>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</si>
  <si>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</si>
  <si>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</si>
  <si>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</si>
  <si>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</si>
  <si>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</si>
  <si>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</si>
  <si>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</si>
  <si>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</si>
  <si>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</si>
  <si>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</si>
  <si>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</si>
  <si>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</si>
  <si>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</si>
  <si>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</si>
  <si>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</si>
  <si>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</si>
  <si>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</si>
  <si>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</si>
  <si>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</si>
  <si>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</si>
  <si>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</si>
  <si>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</si>
  <si>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</si>
  <si>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</si>
  <si>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</si>
  <si>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</si>
  <si>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</si>
  <si>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</si>
  <si>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</si>
  <si>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</si>
  <si>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</si>
  <si>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</si>
  <si>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</si>
  <si>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</si>
  <si>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</si>
  <si>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</si>
  <si>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</si>
  <si>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套装特殊部件可根据特点或重量等适当浮动或者面板转移，但同一套装不同部件之间不要偏差过大，否则可能导致混装的强度较高。</t>
    <phoneticPr fontId="1" type="noConversion"/>
  </si>
  <si>
    <t>防御以外的单项属性占比过高时会占用更多数值模型，通常不要超过总分的一半。</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</si>
  <si>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</si>
  <si>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</si>
  <si>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</si>
  <si>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</si>
  <si>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</si>
  <si>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</si>
  <si>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</si>
  <si>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</si>
  <si>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</si>
  <si>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</si>
  <si>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</si>
  <si>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</si>
  <si>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</si>
  <si>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</si>
  <si>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</si>
  <si>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</si>
  <si>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</si>
  <si>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</si>
  <si>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</si>
  <si>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</si>
  <si>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</si>
  <si>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</si>
  <si>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</si>
  <si>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</si>
  <si>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</si>
  <si>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</si>
  <si>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</si>
  <si>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</si>
  <si>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</si>
  <si>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</si>
  <si>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</si>
  <si>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</si>
  <si>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</si>
  <si>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</si>
  <si>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</si>
  <si>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</si>
  <si>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</si>
  <si>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</si>
  <si>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</si>
  <si>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</si>
  <si>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</si>
  <si>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</si>
  <si>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</si>
  <si>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</si>
  <si>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</si>
  <si>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</si>
  <si>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</si>
  <si>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</si>
  <si>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</si>
  <si>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</si>
  <si>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</si>
  <si>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</si>
  <si>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</si>
  <si>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</si>
  <si>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</si>
  <si>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</si>
  <si>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注意，以上数值以物理伤害为标准值，如果有法伤、真伤招式，应进一步控制攻击倍率。目前不再据此对面板进行调整。怪物魔抗属性目前没有硬性限制，根据情况配置即可。</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</si>
  <si>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</si>
  <si>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</si>
  <si>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</si>
  <si>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</si>
  <si>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</si>
  <si>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</si>
  <si>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</si>
  <si>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</si>
  <si>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</si>
  <si>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</si>
  <si>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</si>
  <si>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</si>
  <si>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</si>
  <si>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</si>
  <si>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成长系数</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</si>
  <si>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</si>
  <si>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K点价格</t>
    <phoneticPr fontId="1" type="noConversion"/>
  </si>
  <si>
    <t>大致约等于推荐参考值即可</t>
    <phoneticPr fontId="1" type="noConversion"/>
  </si>
  <si>
    <t>胖僵尸</t>
    <phoneticPr fontId="1" type="noConversion"/>
  </si>
  <si>
    <t>黑铁</t>
    <phoneticPr fontId="1" type="noConversion"/>
  </si>
  <si>
    <t>boss大僵尸</t>
    <phoneticPr fontId="1" type="noConversion"/>
  </si>
  <si>
    <t>方舟武士</t>
    <phoneticPr fontId="1" type="noConversion"/>
  </si>
  <si>
    <t>对应阶段和档次系数参考下方表格。这两项将决定整体数值大致水平。对于拥有暖机、强力buff、多阶段等显著影响面板的特殊机制单位可能不适用。</t>
    <phoneticPr fontId="1" type="noConversion"/>
  </si>
  <si>
    <t>颜色标注：</t>
    <phoneticPr fontId="1" type="noConversion"/>
  </si>
  <si>
    <t>黑铁流锤</t>
    <phoneticPr fontId="1" type="noConversion"/>
  </si>
  <si>
    <t>例子：精英战术少女（盗贼）黑铁流锤（总堂前期）。可经常复数出现的低级精英</t>
  </si>
  <si>
    <t>3~4</t>
    <phoneticPr fontId="1" type="noConversion"/>
  </si>
  <si>
    <t>5~6</t>
    <phoneticPr fontId="1" type="noConversion"/>
  </si>
  <si>
    <t>8~9</t>
    <phoneticPr fontId="1" type="noConversion"/>
  </si>
  <si>
    <t>高防低血系数代表这个单位是否有防御和血量的比例倾向，默认为1，通常范围为0.2~5，最大范围为0.1~10。数值越高代表防御越高，血量越低。视觉和设定上更硬的单位应该给更高的高防低血系数。</t>
    <phoneticPr fontId="1" type="noConversion"/>
  </si>
  <si>
    <t>攻击倍率、段数系数均为大致平均值即可，攻击倍率默认为1~2，通常为1~3。段数系数默认为3，大致区间为1~10。攻击倍率为平均每次攻击的平均倍率，同理段数系数为每次平均段数。固定值伤害根据大致比例进行平均。</t>
    <phoneticPr fontId="1" type="noConversion"/>
  </si>
  <si>
    <t>攻速系数只看单次攻击动作的总时长和前后摇的长度，实际代表攻击节奏快慢，默认为3，范围为1~5，代表极慢、慢、中等、快、极快。</t>
    <phoneticPr fontId="1" type="noConversion"/>
  </si>
  <si>
    <t>机枪的弹容量种族优势可额外换2-4层级，对应种族价格系数，可叠加武器价格层级。穿刺枪的种族优势为群攻，散弹的种族优势为吃拐率，不反映在面板上，所以无额外加权层级。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</si>
</sst>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1">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19"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2"/>
  <sheetViews>
    <sheetView tabSelected="1" zoomScaleNormal="100" workbookViewId="0">
      <selection activeCell="C31" sqref="C31"/>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266</v>
      </c>
      <c r="D1" t="s">
        <v>46</v>
      </c>
      <c r="E1" t="s">
        <v>43</v>
      </c>
      <c r="F1" t="s">
        <v>44</v>
      </c>
      <c r="G1" t="s">
        <v>45</v>
      </c>
      <c r="I1" t="s">
        <v>299</v>
      </c>
      <c r="L1" t="s">
        <v>273</v>
      </c>
      <c r="M1" t="s">
        <v>42</v>
      </c>
      <c r="N1" t="s">
        <v>297</v>
      </c>
      <c r="O1" t="s">
        <v>165</v>
      </c>
      <c r="Q1" s="1" t="s">
        <v>376</v>
      </c>
      <c r="V1" t="s">
        <v>310</v>
      </c>
    </row>
    <row r="2" spans="1:41" x14ac:dyDescent="0.3">
      <c r="A2" t="s">
        <v>311</v>
      </c>
      <c r="B2" s="10" t="s">
        <v>282</v>
      </c>
      <c r="C2" s="10" t="s">
        <v>50</v>
      </c>
      <c r="D2" s="8" t="s">
        <v>14</v>
      </c>
      <c r="E2" s="8" t="s">
        <v>1</v>
      </c>
      <c r="F2" s="8" t="s">
        <v>2</v>
      </c>
      <c r="G2" s="8" t="s">
        <v>3</v>
      </c>
      <c r="H2" s="8" t="s">
        <v>10</v>
      </c>
      <c r="I2" s="8" t="s">
        <v>170</v>
      </c>
      <c r="J2" s="9" t="s">
        <v>6</v>
      </c>
      <c r="K2" s="9" t="s">
        <v>4</v>
      </c>
      <c r="L2" s="9" t="s">
        <v>272</v>
      </c>
      <c r="M2" s="8" t="s">
        <v>162</v>
      </c>
      <c r="N2" s="8" t="s">
        <v>296</v>
      </c>
      <c r="O2" s="8" t="s">
        <v>12</v>
      </c>
      <c r="P2" s="11" t="s">
        <v>221</v>
      </c>
      <c r="Q2" s="14" t="s">
        <v>291</v>
      </c>
      <c r="R2" s="11" t="s">
        <v>222</v>
      </c>
      <c r="S2" s="14" t="s">
        <v>295</v>
      </c>
      <c r="T2" s="11" t="s">
        <v>307</v>
      </c>
      <c r="U2" s="11" t="s">
        <v>220</v>
      </c>
      <c r="V2" s="14" t="s">
        <v>294</v>
      </c>
      <c r="W2" s="14" t="s">
        <v>292</v>
      </c>
      <c r="X2" s="14" t="s">
        <v>300</v>
      </c>
      <c r="Y2" s="14" t="s">
        <v>308</v>
      </c>
      <c r="Z2" s="14" t="s">
        <v>377</v>
      </c>
      <c r="AA2" s="14" t="s">
        <v>378</v>
      </c>
      <c r="AB2" s="14" t="s">
        <v>379</v>
      </c>
      <c r="AC2" s="14" t="s">
        <v>380</v>
      </c>
      <c r="AD2" s="14" t="s">
        <v>385</v>
      </c>
      <c r="AE2" s="14" t="s">
        <v>384</v>
      </c>
      <c r="AF2" s="14" t="s">
        <v>386</v>
      </c>
      <c r="AG2" s="14" t="s">
        <v>381</v>
      </c>
      <c r="AH2" s="14" t="s">
        <v>290</v>
      </c>
      <c r="AI2" s="14" t="s">
        <v>169</v>
      </c>
      <c r="AJ2" s="14" t="s">
        <v>271</v>
      </c>
      <c r="AK2" s="14" t="s">
        <v>298</v>
      </c>
      <c r="AL2" s="14" t="s">
        <v>309</v>
      </c>
      <c r="AM2" s="14" t="s">
        <v>293</v>
      </c>
      <c r="AN2" s="14" t="s">
        <v>289</v>
      </c>
      <c r="AO2" s="14" t="s">
        <v>333</v>
      </c>
    </row>
    <row r="3" spans="1:41" x14ac:dyDescent="0.3">
      <c r="B3" s="2" t="s">
        <v>13</v>
      </c>
      <c r="C3" t="s">
        <v>15</v>
      </c>
      <c r="D3">
        <v>7</v>
      </c>
      <c r="E3">
        <v>100</v>
      </c>
      <c r="F3">
        <v>120</v>
      </c>
      <c r="G3">
        <v>30</v>
      </c>
      <c r="H3">
        <v>200</v>
      </c>
      <c r="I3">
        <v>4</v>
      </c>
      <c r="J3">
        <v>1</v>
      </c>
      <c r="K3">
        <v>1</v>
      </c>
      <c r="L3">
        <v>1</v>
      </c>
      <c r="M3">
        <v>1</v>
      </c>
      <c r="N3">
        <v>40</v>
      </c>
      <c r="O3">
        <v>0</v>
      </c>
      <c r="Q3">
        <f>1000*表2_5[[#This Row],[周期伤害]]/(表2_5[[#This Row],[射击间隔]]*(表2_5[[#This Row],[弹容量]]-1)+900*表2_5[[#This Row],[双枪系数]])</f>
        <v>1914.1695205479452</v>
      </c>
      <c r="S3">
        <f>表2_5[[#This Row],[平衡dps]]*表2_5[[#This Row],[周期dps系数]]*表2_5[[#This Row],[吃拐系数]]*1.1^表2_5[[#This Row],[额外加权层数]]</f>
        <v>1914.2374083361844</v>
      </c>
      <c r="V3">
        <f>表2_5[[#This Row],[平衡裸伤dps]]+表2_5[[#This Row],[平衡增益dps]]</f>
        <v>1914.0679719372729</v>
      </c>
      <c r="W3">
        <f>(表2_5[[#This Row],[子弹威力]]*1.5+30+表2_5[[#This Row],[子弹威力]]*2*表2_5[[#This Row],[限制等级]]/256+表2_5[[#This Row],[伤害加成]]+表2_5[[#This Row],[剧毒]]/(表2_5[[#This Row],[霰弹值]]*3^(表2_5[[#This Row],[穿刺系数]]-1)))*表2_5[[#This Row],[穿刺系数]]*表2_5[[#This Row],[弹容量]]*(1+(表2_5[[#This Row],[霰弹值]]-1)*0.5)</f>
        <v>8384.0625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8230.4</v>
      </c>
      <c r="Y3">
        <f>表2_5[[#This Row],[平衡周期伤害]]*1.25^表2_5[[#This Row],[额外加权层数]]</f>
        <v>8230.4</v>
      </c>
      <c r="Z3">
        <f>1000*(表2_5[[#This Row],[子弹威力]]*1.5+30)*表2_5[[#This Row],[穿刺系数]]*表2_5[[#This Row],[弹容量]]*(1+(表2_5[[#This Row],[霰弹值]]-1)*0.5)/(表2_5[[#This Row],[射击间隔]]*(表2_5[[#This Row],[弹容量]]-1)+900*表2_5[[#This Row],[双枪系数]])</f>
        <v>1232.8767123287671</v>
      </c>
      <c r="AA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1232.7781579905241</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681.29280821917803</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681.28981394674884</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1882.5504347793969</v>
      </c>
      <c r="AH3">
        <f>(表2_5[[#This Row],[子弹威力]]*1.5+30+表2_5[[#This Row],[子弹威力]]*2*表2_5[[#This Row],[限制等级]]/256+表2_5[[#This Row],[伤害加成]]+表2_5[[#This Row],[剧毒]]/表2_5[[#This Row],[霰弹值]])</f>
        <v>279.46875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0.98888888888888893</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0.99719956436010304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1914.1695205479452</v>
      </c>
      <c r="AN3">
        <f>1000*表2_5[[#This Row],[周期伤害]]/(表2_5[[#This Row],[射击间隔]]*表2_5[[#This Row],[弹容量]])</f>
        <v>2328.90625</v>
      </c>
      <c r="AO3">
        <f>IF(表2_5[[#This Row],[周期dps]]&lt;=表2_5[[#This Row],[平衡dps]] * 2,0.85+0.3365/(1+EXP(-(表2_5[[#This Row],[平衡dps]]-表2_5[[#This Row],[周期dps]])/(表2_5[[#This Row],[平衡dps]]))),0.37+1.68/(1+EXP(-(表2_5[[#This Row],[平衡dps]]-表2_5[[#This Row],[周期dps]])/(表2_5[[#This Row],[平衡dps]]*1.5))))</f>
        <v>1.0000885216206508</v>
      </c>
    </row>
    <row r="4" spans="1:41" x14ac:dyDescent="0.3">
      <c r="B4" s="2" t="s">
        <v>18</v>
      </c>
      <c r="C4" t="s">
        <v>24</v>
      </c>
      <c r="D4" s="3">
        <v>22</v>
      </c>
      <c r="E4" s="3">
        <v>125</v>
      </c>
      <c r="F4" s="3">
        <v>150</v>
      </c>
      <c r="G4" s="3">
        <v>40</v>
      </c>
      <c r="H4" s="3">
        <v>200</v>
      </c>
      <c r="I4" s="3">
        <v>5</v>
      </c>
      <c r="J4" s="3">
        <v>1</v>
      </c>
      <c r="K4" s="3">
        <v>2</v>
      </c>
      <c r="L4">
        <v>1</v>
      </c>
      <c r="M4" s="3">
        <v>1</v>
      </c>
      <c r="N4" s="3">
        <v>45</v>
      </c>
      <c r="O4" s="3">
        <v>0.3</v>
      </c>
      <c r="Q4">
        <f>1000*表2_5[[#This Row],[周期伤害]]/(表2_5[[#This Row],[射击间隔]]*(表2_5[[#This Row],[弹容量]]-1)+900*表2_5[[#This Row],[双枪系数]])</f>
        <v>4953.8888888888887</v>
      </c>
      <c r="S4">
        <f>表2_5[[#This Row],[平衡dps]]*表2_5[[#This Row],[周期dps系数]]*表2_5[[#This Row],[吃拐系数]]*1.1^表2_5[[#This Row],[额外加权层数]]</f>
        <v>4935.3835494073419</v>
      </c>
      <c r="V4">
        <f>表2_5[[#This Row],[平衡裸伤dps]]+表2_5[[#This Row],[平衡增益dps]]</f>
        <v>4851.308428662649</v>
      </c>
      <c r="W4">
        <f>(表2_5[[#This Row],[子弹威力]]*1.5+30+表2_5[[#This Row],[子弹威力]]*2*表2_5[[#This Row],[限制等级]]/256+表2_5[[#This Row],[伤害加成]]+表2_5[[#This Row],[剧毒]]/(表2_5[[#This Row],[霰弹值]]*3^(表2_5[[#This Row],[穿刺系数]]-1)))*表2_5[[#This Row],[穿刺系数]]*表2_5[[#This Row],[弹容量]]*(1+(表2_5[[#This Row],[霰弹值]]-1)*0.5)</f>
        <v>33438.75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2577.7777777777778</v>
      </c>
      <c r="AA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3020.4208312948876</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2376.1111111111113</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1830.8875973677614</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5155.8706610160534</v>
      </c>
      <c r="AH4">
        <f>(表2_5[[#This Row],[子弹威力]]*1.5+30+表2_5[[#This Row],[子弹威力]]*2*表2_5[[#This Row],[限制等级]]/256+表2_5[[#This Row],[伤害加成]]+表2_5[[#This Row],[剧毒]]/表2_5[[#This Row],[霰弹值]])</f>
        <v>437.984375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0.98653212435985971</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4953.8888888888887</v>
      </c>
      <c r="AN4">
        <f>1000*表2_5[[#This Row],[周期伤害]]/(表2_5[[#This Row],[射击间隔]]*表2_5[[#This Row],[弹容量]])</f>
        <v>5573.125</v>
      </c>
      <c r="AO4">
        <f>IF(表2_5[[#This Row],[周期dps]]&lt;=表2_5[[#This Row],[平衡dps]] * 2,0.85+0.3365/(1+EXP(-(表2_5[[#This Row],[平衡dps]]-表2_5[[#This Row],[周期dps]])/(表2_5[[#This Row],[平衡dps]]))),0.37+1.68/(1+EXP(-(表2_5[[#This Row],[平衡dps]]-表2_5[[#This Row],[周期dps]])/(表2_5[[#This Row],[平衡dps]]*1.5))))</f>
        <v>1.005756248149515</v>
      </c>
    </row>
    <row r="5" spans="1:41" x14ac:dyDescent="0.3">
      <c r="A5" s="2" t="s">
        <v>148</v>
      </c>
      <c r="B5" s="2" t="s">
        <v>274</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3564.3431278887515</v>
      </c>
      <c r="V5">
        <f>表2_5[[#This Row],[平衡裸伤dps]]+表2_5[[#This Row],[平衡增益dps]]</f>
        <v>3264.9952462733104</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2504.2768273593201</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760.71841891399015</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0.99244001599782883</v>
      </c>
    </row>
    <row r="6" spans="1:41" x14ac:dyDescent="0.3">
      <c r="A6" s="2"/>
      <c r="B6" s="1" t="s">
        <v>25</v>
      </c>
      <c r="C6" t="s">
        <v>283</v>
      </c>
      <c r="D6" s="12">
        <v>30</v>
      </c>
      <c r="E6" s="12">
        <v>250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7996.0978035281905</v>
      </c>
      <c r="S6" s="17">
        <f>表2_5[[#This Row],[平衡dps]]*表2_5[[#This Row],[周期dps系数]]*表2_5[[#This Row],[吃拐系数]]*1.1^表2_5[[#This Row],[额外加权层数]]</f>
        <v>8015.59672237004</v>
      </c>
      <c r="V6">
        <f>表2_5[[#This Row],[平衡裸伤dps]]+表2_5[[#This Row],[平衡增益dps]]</f>
        <v>7990.9464303756549</v>
      </c>
      <c r="W6">
        <f>(表2_5[[#This Row],[子弹威力]]*1.5+30+表2_5[[#This Row],[子弹威力]]*2*表2_5[[#This Row],[限制等级]]/256+表2_5[[#This Row],[伤害加成]]+表2_5[[#This Row],[剧毒]]/(表2_5[[#This Row],[霰弹值]]*3^(表2_5[[#This Row],[穿刺系数]]-1)))*表2_5[[#This Row],[穿刺系数]]*表2_5[[#This Row],[弹容量]]*(1+(表2_5[[#This Row],[霰弹值]]-1)*0.5)</f>
        <v>42459.279336734689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3813.5593220338983</v>
      </c>
      <c r="AA6">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3789.2889126141008</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4182.5384814942927</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4201.6575177615541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6554.6817081442805</v>
      </c>
      <c r="AH6">
        <f>(表2_5[[#This Row],[子弹威力]]*1.5+30+表2_5[[#This Row],[子弹威力]]*2*表2_5[[#This Row],[限制等级]]/256+表2_5[[#This Row],[伤害加成]]+表2_5[[#This Row],[剧毒]]/表2_5[[#This Row],[霰弹值]])</f>
        <v>849.18558673469386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0.97946857421484745</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7996.0978035281905</v>
      </c>
      <c r="AN6">
        <f>1000*表2_5[[#This Row],[周期伤害]]/(表2_5[[#This Row],[射击间隔]]*表2_5[[#This Row],[弹容量]])</f>
        <v>9435.3954081632637</v>
      </c>
      <c r="AO6">
        <f>IF(表2_5[[#This Row],[周期dps]]&lt;=表2_5[[#This Row],[平衡dps]] * 2,0.85+0.3365/(1+EXP(-(表2_5[[#This Row],[平衡dps]]-表2_5[[#This Row],[周期dps]])/(表2_5[[#This Row],[平衡dps]]))),0.37+1.68/(1+EXP(-(表2_5[[#This Row],[平衡dps]]-表2_5[[#This Row],[周期dps]])/(表2_5[[#This Row],[平衡dps]]*1.5))))</f>
        <v>1.0030847775303164</v>
      </c>
    </row>
    <row r="7" spans="1:41" x14ac:dyDescent="0.3">
      <c r="A7" s="6" t="s">
        <v>150</v>
      </c>
      <c r="B7" s="3"/>
      <c r="C7" t="s">
        <v>285</v>
      </c>
      <c r="D7" s="12">
        <v>28</v>
      </c>
      <c r="E7" s="12">
        <v>1300</v>
      </c>
      <c r="F7" s="12">
        <v>700</v>
      </c>
      <c r="G7" s="12">
        <v>9</v>
      </c>
      <c r="H7" s="12">
        <v>1000</v>
      </c>
      <c r="I7" s="12">
        <v>8</v>
      </c>
      <c r="J7" s="13">
        <v>1</v>
      </c>
      <c r="K7" s="12">
        <v>2</v>
      </c>
      <c r="L7" s="12">
        <v>1</v>
      </c>
      <c r="M7" s="12">
        <v>1</v>
      </c>
      <c r="N7" s="12">
        <v>3</v>
      </c>
      <c r="O7" s="12">
        <v>0</v>
      </c>
      <c r="Q7" s="17">
        <f>1000*表2_5[[#This Row],[周期伤害]]/(表2_5[[#This Row],[射击间隔]]*(表2_5[[#This Row],[弹容量]]-1)+900*表2_5[[#This Row],[双枪系数]])</f>
        <v>6956.9867189952902</v>
      </c>
      <c r="S7" s="17">
        <f>表2_5[[#This Row],[平衡dps]]*表2_5[[#This Row],[周期dps系数]]*表2_5[[#This Row],[吃拐系数]]*1.1^表2_5[[#This Row],[额外加权层数]]</f>
        <v>6950.0297894248506</v>
      </c>
      <c r="V7">
        <f>表2_5[[#This Row],[平衡裸伤dps]]+表2_5[[#This Row],[平衡增益dps]]</f>
        <v>6852.3512610772741</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5483.0769230769229</v>
      </c>
      <c r="AA7">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3987.6758367719603</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1473.9097959183673</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2864.6754243053138</v>
      </c>
      <c r="AD7">
        <f>1000*表2_5[[#This Row],[弹容量]]/(表2_5[[#This Row],[射击间隔]]*(表2_5[[#This Row],[弹容量]]-1)+900*表2_5[[#This Row],[双枪系数]])</f>
        <v>1.3846153846153846</v>
      </c>
      <c r="AE7">
        <f>1000*(表2_5[[#This Row],[穿刺系数]]*表2_5[[#This Row],[弹容量]]*(1+(表2_5[[#This Row],[霰弹值]]-1)*0.5)/(表2_5[[#This Row],[射击间隔]]*(表2_5[[#This Row],[弹容量]]-1)+900*表2_5[[#This Row],[双枪系数]]))</f>
        <v>2.7692307692307692</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6905.9216366212231</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6956.9867189952902</v>
      </c>
      <c r="AN7">
        <f>1000*表2_5[[#This Row],[周期伤害]]/(表2_5[[#This Row],[射击间隔]]*表2_5[[#This Row],[弹容量]])</f>
        <v>7177.8434402332359</v>
      </c>
      <c r="AO7">
        <f>IF(表2_5[[#This Row],[周期dps]]&lt;=表2_5[[#This Row],[平衡dps]] * 2,0.85+0.3365/(1+EXP(-(表2_5[[#This Row],[平衡dps]]-表2_5[[#This Row],[周期dps]])/(表2_5[[#This Row],[平衡dps]]))),0.37+1.68/(1+EXP(-(表2_5[[#This Row],[平衡dps]]-表2_5[[#This Row],[周期dps]])/(表2_5[[#This Row],[平衡dps]]*1.5))))</f>
        <v>1.0142547462361438</v>
      </c>
    </row>
    <row r="8" spans="1:41" x14ac:dyDescent="0.3">
      <c r="A8" s="6" t="s">
        <v>151</v>
      </c>
      <c r="B8" s="3"/>
      <c r="C8" t="s">
        <v>287</v>
      </c>
      <c r="D8" s="12">
        <v>35</v>
      </c>
      <c r="E8" s="12">
        <v>900</v>
      </c>
      <c r="F8" s="12">
        <v>130</v>
      </c>
      <c r="G8" s="12">
        <v>10</v>
      </c>
      <c r="H8" s="12">
        <v>500</v>
      </c>
      <c r="I8" s="12">
        <v>3</v>
      </c>
      <c r="J8" s="13">
        <v>1</v>
      </c>
      <c r="K8" s="12">
        <v>1</v>
      </c>
      <c r="L8" s="12">
        <v>1</v>
      </c>
      <c r="M8" s="12">
        <v>1</v>
      </c>
      <c r="N8" s="12">
        <v>10</v>
      </c>
      <c r="O8" s="12">
        <v>0</v>
      </c>
      <c r="Q8" s="17">
        <f>1000*表2_5[[#This Row],[周期伤害]]/(表2_5[[#This Row],[射击间隔]]*(表2_5[[#This Row],[弹容量]]-1)+900*表2_5[[#This Row],[双枪系数]])</f>
        <v>10152.784555851327</v>
      </c>
      <c r="S8" s="17">
        <f>表2_5[[#This Row],[平衡dps]]*表2_5[[#This Row],[周期dps系数]]*表2_5[[#This Row],[吃拐系数]]*1.1^表2_5[[#This Row],[额外加权层数]]</f>
        <v>10608.682012142001</v>
      </c>
      <c r="V8">
        <f>表2_5[[#This Row],[平衡裸伤dps]]+表2_5[[#This Row],[平衡增益dps]]</f>
        <v>10849.242444199579</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42810.400000000001</v>
      </c>
      <c r="Y8">
        <f>表2_5[[#This Row],[平衡周期伤害]]*1.25^表2_5[[#This Row],[额外加权层数]]</f>
        <v>42810.400000000001</v>
      </c>
      <c r="Z8">
        <f>1000*(表2_5[[#This Row],[子弹威力]]*1.5+30)*表2_5[[#This Row],[穿刺系数]]*表2_5[[#This Row],[弹容量]]*(1+(表2_5[[#This Row],[霰弹值]]-1)*0.5)/(表2_5[[#This Row],[射击间隔]]*(表2_5[[#This Row],[弹容量]]-1)+900*表2_5[[#This Row],[双枪系数]])</f>
        <v>6666.666666666667</v>
      </c>
      <c r="AA8">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5153.2323332905817</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3486.1178891846585</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5696.0101109089965</v>
      </c>
      <c r="AD8">
        <f>1000*表2_5[[#This Row],[弹容量]]/(表2_5[[#This Row],[射击间隔]]*(表2_5[[#This Row],[弹容量]]-1)+900*表2_5[[#This Row],[双枪系数]])</f>
        <v>4.8309178743961354</v>
      </c>
      <c r="AE8">
        <f>1000*(表2_5[[#This Row],[穿刺系数]]*表2_5[[#This Row],[弹容量]]*(1+(表2_5[[#This Row],[霰弹值]]-1)*0.5)/(表2_5[[#This Row],[射击间隔]]*(表2_5[[#This Row],[弹容量]]-1)+900*表2_5[[#This Row],[双枪系数]]))</f>
        <v>4.8309178743961354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9621.340695062765</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0.93333333333333335</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1.0747551830293407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10152.784555851325</v>
      </c>
      <c r="AN8">
        <f>1000*表2_5[[#This Row],[周期伤害]]/(表2_5[[#This Row],[射击间隔]]*表2_5[[#This Row],[弹容量]])</f>
        <v>16166.356946624806</v>
      </c>
      <c r="AO8">
        <f>IF(表2_5[[#This Row],[周期dps]]&lt;=表2_5[[#This Row],[平衡dps]] * 2,0.85+0.3365/(1+EXP(-(表2_5[[#This Row],[平衡dps]]-表2_5[[#This Row],[周期dps]])/(表2_5[[#This Row],[平衡dps]]))),0.37+1.68/(1+EXP(-(表2_5[[#This Row],[平衡dps]]-表2_5[[#This Row],[周期dps]])/(表2_5[[#This Row],[平衡dps]]*1.5))))</f>
        <v>0.97782698346959784</v>
      </c>
    </row>
    <row r="9" spans="1:41" x14ac:dyDescent="0.3">
      <c r="A9" s="6" t="s">
        <v>158</v>
      </c>
      <c r="B9" s="3"/>
    </row>
    <row r="10" spans="1:41" x14ac:dyDescent="0.3">
      <c r="A10" s="7" t="s">
        <v>155</v>
      </c>
      <c r="B10" s="30" t="s">
        <v>16</v>
      </c>
      <c r="C10" s="27" t="s">
        <v>17</v>
      </c>
      <c r="D10" s="31">
        <v>13</v>
      </c>
      <c r="E10" s="31">
        <v>65</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2175.9231596558316</v>
      </c>
      <c r="S10">
        <f>表2_5[[#This Row],[平衡dps]]*表2_5[[#This Row],[周期dps系数]]*表2_5[[#This Row],[吃拐系数]]*1.1^表2_5[[#This Row],[额外加权层数]]</f>
        <v>2177.2504447235419</v>
      </c>
      <c r="T10" s="27"/>
      <c r="U10" s="27"/>
      <c r="V10">
        <f>表2_5[[#This Row],[平衡裸伤dps]]+表2_5[[#This Row],[平衡增益dps]]</f>
        <v>2221.803925305222</v>
      </c>
      <c r="W10">
        <f>(表2_5[[#This Row],[子弹威力]]+20+表2_5[[#This Row],[子弹威力]]*2*表2_5[[#This Row],[限制等级]]/256+表2_5[[#This Row],[伤害加成]]+表2_5[[#This Row],[剧毒]]/(表2_5[[#This Row],[霰弹值]]*3^(表2_5[[#This Row],[穿刺系数]]-1)))*表2_5[[#This Row],[穿刺系数]]*表2_5[[#This Row],[弹容量]]*(1+(表2_5[[#This Row],[霰弹值]]-1)*0.5)</f>
        <v>11380.078125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812.61950286806882</v>
      </c>
      <c r="AA10">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1272.9404441211784</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1363.303656787763</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948.86348118404374</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2115.1844642179994</v>
      </c>
      <c r="AH10" s="27">
        <f>(表2_5[[#This Row],[子弹威力]]+20+表2_5[[#This Row],[子弹威力]]*2*表2_5[[#This Row],[限制等级]]/256+表2_5[[#This Row],[伤害加成]]+表2_5[[#This Row],[剧毒]]/表2_5[[#This Row],[霰弹值]])</f>
        <v>227.6015625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0.9996607731708953</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2175.9231596558316</v>
      </c>
      <c r="AN10">
        <f>1000*表2_5[[#This Row],[周期伤害]]/(表2_5[[#This Row],[射击间隔]]*表2_5[[#This Row],[弹容量]])</f>
        <v>3251.4508928571427</v>
      </c>
      <c r="AO10">
        <f>IF(表2_5[[#This Row],[周期dps]]&lt;=表2_5[[#This Row],[平衡dps]] * 2,0.85+0.3365/(1+EXP(-(表2_5[[#This Row],[平衡dps]]-表2_5[[#This Row],[周期dps]])/(表2_5[[#This Row],[平衡dps]]))),0.37+1.68/(1+EXP(-(表2_5[[#This Row],[平衡dps]]-表2_5[[#This Row],[周期dps]])/(表2_5[[#This Row],[平衡dps]]*1.5))))</f>
        <v>0.97994715911956121</v>
      </c>
    </row>
    <row r="11" spans="1:41" x14ac:dyDescent="0.3">
      <c r="A11" s="7" t="s">
        <v>156</v>
      </c>
      <c r="B11" s="30" t="s">
        <v>21</v>
      </c>
      <c r="C11" s="27" t="s">
        <v>26</v>
      </c>
      <c r="D11" s="27">
        <v>22</v>
      </c>
      <c r="E11" s="27">
        <v>700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3706.590909090909</v>
      </c>
      <c r="S11">
        <f>表2_5[[#This Row],[平衡dps]]*表2_5[[#This Row],[周期dps系数]]*表2_5[[#This Row],[吃拐系数]]*1.1^表2_5[[#This Row],[额外加权层数]]</f>
        <v>3731.7617881206602</v>
      </c>
      <c r="T11" s="27"/>
      <c r="U11" s="27"/>
      <c r="V11">
        <f>表2_5[[#This Row],[平衡裸伤dps]]+表2_5[[#This Row],[平衡增益dps]]</f>
        <v>3580.7831490712351</v>
      </c>
      <c r="W11">
        <f>(表2_5[[#This Row],[子弹威力]]+20+表2_5[[#This Row],[子弹威力]]*2*表2_5[[#This Row],[限制等级]]/256+表2_5[[#This Row],[伤害加成]]+表2_5[[#This Row],[剧毒]]/(表2_5[[#This Row],[霰弹值]]*3^(表2_5[[#This Row],[穿刺系数]]-1)))*表2_5[[#This Row],[穿刺系数]]*表2_5[[#This Row],[弹容量]]*(1+(表2_5[[#This Row],[霰弹值]]-1)*0.5)</f>
        <v>12231.75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2618.181818181818</v>
      </c>
      <c r="AA11">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1978.8149744772097</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1088.409090909091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1601.9681745940256</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3254.3598737779162</v>
      </c>
      <c r="AH11" s="27">
        <f>(表2_5[[#This Row],[子弹威力]]+20+表2_5[[#This Row],[子弹威力]]*2*表2_5[[#This Row],[限制等级]]/256+表2_5[[#This Row],[伤害加成]]+表2_5[[#This Row],[剧毒]]/表2_5[[#This Row],[霰弹值]])</f>
        <v>1039.3125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1.0627371836726873</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3706.590909090909</v>
      </c>
      <c r="AN11">
        <f>1000*表2_5[[#This Row],[周期伤害]]/(表2_5[[#This Row],[射击间隔]]*表2_5[[#This Row],[弹容量]])</f>
        <v>6795.416666666667</v>
      </c>
      <c r="AO11">
        <f>IF(表2_5[[#This Row],[周期dps]]&lt;=表2_5[[#This Row],[平衡dps]] * 2,0.85+0.3365/(1+EXP(-(表2_5[[#This Row],[平衡dps]]-表2_5[[#This Row],[周期dps]])/(表2_5[[#This Row],[平衡dps]]))),0.37+1.68/(1+EXP(-(表2_5[[#This Row],[平衡dps]]-表2_5[[#This Row],[周期dps]])/(表2_5[[#This Row],[平衡dps]]*1.5))))</f>
        <v>0.9474214369427143</v>
      </c>
    </row>
    <row r="12" spans="1:41" x14ac:dyDescent="0.3">
      <c r="A12" s="7" t="s">
        <v>157</v>
      </c>
      <c r="B12" s="30" t="s">
        <v>281</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1960.568781560713</v>
      </c>
      <c r="T12" s="27"/>
      <c r="U12" s="27"/>
      <c r="V12">
        <f>表2_5[[#This Row],[平衡裸伤dps]]+表2_5[[#This Row],[平衡增益dps]]</f>
        <v>2010.8114808268531</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1239.6327646418943</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771.17871618495883</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0.97501371971206363</v>
      </c>
    </row>
    <row r="13" spans="1:41" x14ac:dyDescent="0.3">
      <c r="A13" s="15" t="s">
        <v>149</v>
      </c>
      <c r="B13" s="1" t="s">
        <v>25</v>
      </c>
      <c r="C13" t="s">
        <v>284</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5861.0382911394163</v>
      </c>
      <c r="V13">
        <f>表2_5[[#This Row],[平衡裸伤dps]]+表2_5[[#This Row],[平衡增益dps]]</f>
        <v>5983.8239946457634</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2441.2010784463823</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3542.6229161993806</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0.97948039520944907</v>
      </c>
    </row>
    <row r="14" spans="1:41" x14ac:dyDescent="0.3">
      <c r="A14" s="15" t="s">
        <v>159</v>
      </c>
      <c r="B14" s="3"/>
      <c r="C14" t="s">
        <v>286</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5738.230804796859</v>
      </c>
      <c r="V14">
        <f>表2_5[[#This Row],[平衡裸伤dps]]+表2_5[[#This Row],[平衡增益dps]]</f>
        <v>5739.2477640888637</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2489.6938291494339</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3249.5539349394298</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0.99982280617011032</v>
      </c>
    </row>
    <row r="15" spans="1:41" x14ac:dyDescent="0.3">
      <c r="A15" s="15" t="s">
        <v>306</v>
      </c>
      <c r="B15" s="3"/>
      <c r="C15" t="s">
        <v>287</v>
      </c>
      <c r="D15" s="12">
        <v>15</v>
      </c>
      <c r="E15" s="12">
        <v>850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2399.1629464285716</v>
      </c>
      <c r="S15" s="17">
        <f>表2_5[[#This Row],[平衡dps]]*表2_5[[#This Row],[周期dps系数]]*表2_5[[#This Row],[吃拐系数]]*1.1^表2_5[[#This Row],[额外加权层数]]</f>
        <v>2397.2788735560025</v>
      </c>
      <c r="V15">
        <f>表2_5[[#This Row],[平衡裸伤dps]]+表2_5[[#This Row],[平衡增益dps]]</f>
        <v>2636.2558710452458</v>
      </c>
      <c r="W15">
        <f>(表2_5[[#This Row],[子弹威力]]+20+表2_5[[#This Row],[子弹威力]]*2*表2_5[[#This Row],[限制等级]]/256+表2_5[[#This Row],[伤害加成]]+表2_5[[#This Row],[剧毒]]/(表2_5[[#This Row],[霰弹值]]*3^(表2_5[[#This Row],[穿刺系数]]-1)))*表2_5[[#This Row],[穿刺系数]]*表2_5[[#This Row],[弹容量]]*(1+(表2_5[[#This Row],[霰弹值]]-1)*0.5)</f>
        <v>6717.65625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1864.2857142857142</v>
      </c>
      <c r="AA1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1498.7496369024429</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534.87723214285711</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1137.5062341428027</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2432.0179857629705</v>
      </c>
      <c r="AH15" s="27">
        <f>(表2_5[[#This Row],[子弹威力]]+20+表2_5[[#This Row],[子弹威力]]*2*表2_5[[#This Row],[限制等级]]/256+表2_5[[#This Row],[伤害加成]]+表2_5[[#This Row],[剧毒]]/表2_5[[#This Row],[霰弹值]])</f>
        <v>1119.609375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1.0638386982365695</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2399.1629464285716</v>
      </c>
      <c r="AN15">
        <f>1000*表2_5[[#This Row],[周期伤害]]/(表2_5[[#This Row],[射击间隔]]*表2_5[[#This Row],[弹容量]])</f>
        <v>5598.046875</v>
      </c>
      <c r="AO15">
        <f>IF(表2_5[[#This Row],[周期dps]]&lt;=表2_5[[#This Row],[平衡dps]] * 2,0.85+0.3365/(1+EXP(-(表2_5[[#This Row],[平衡dps]]-表2_5[[#This Row],[周期dps]])/(表2_5[[#This Row],[平衡dps]]))),0.37+1.68/(1+EXP(-(表2_5[[#This Row],[平衡dps]]-表2_5[[#This Row],[周期dps]])/(表2_5[[#This Row],[平衡dps]]*1.5))))</f>
        <v>0.90934984721551648</v>
      </c>
    </row>
    <row r="16" spans="1:41" x14ac:dyDescent="0.3">
      <c r="B16" s="3"/>
      <c r="D16" s="3"/>
      <c r="E16" s="3"/>
      <c r="F16" s="3"/>
      <c r="G16" s="3"/>
      <c r="H16" s="3"/>
      <c r="I16" s="3"/>
    </row>
    <row r="17" spans="2:41" x14ac:dyDescent="0.3">
      <c r="B17" s="3"/>
      <c r="C17" s="2" t="s">
        <v>236</v>
      </c>
      <c r="D17" s="3"/>
      <c r="E17" s="3"/>
      <c r="F17" s="4" t="str">
        <f>IF(OR(AF6&lt;0.7,AF7&lt;0.7,AF8&lt;0.7,AF13&lt;0.7,AF14&lt;0.7,AF15&lt;0.7),"异常提示：你的武器相对于当前限制等级的吃拐率过高，会导致dps惩罚过重，请降低射速、段数或穿刺能力！","")</f>
        <v/>
      </c>
      <c r="G17" s="3"/>
      <c r="H17" s="3"/>
      <c r="I17" s="3"/>
    </row>
    <row r="18" spans="2:41" x14ac:dyDescent="0.3">
      <c r="B18" s="3"/>
      <c r="C18" s="2" t="s">
        <v>275</v>
      </c>
      <c r="D18" s="2" t="s">
        <v>279</v>
      </c>
    </row>
    <row r="19" spans="2:41" x14ac:dyDescent="0.3">
      <c r="B19" s="3"/>
      <c r="C19" s="2" t="s">
        <v>276</v>
      </c>
      <c r="D19" s="2" t="s">
        <v>280</v>
      </c>
    </row>
    <row r="20" spans="2:41" x14ac:dyDescent="0.3">
      <c r="B20" s="3"/>
      <c r="C20" s="2" t="s">
        <v>277</v>
      </c>
      <c r="D20" s="2" t="s">
        <v>301</v>
      </c>
      <c r="O20" s="29" t="s">
        <v>288</v>
      </c>
    </row>
    <row r="21" spans="2:41" x14ac:dyDescent="0.3">
      <c r="B21" s="3"/>
      <c r="C21" s="2" t="s">
        <v>278</v>
      </c>
      <c r="D21" s="2" t="s">
        <v>375</v>
      </c>
    </row>
    <row r="22" spans="2:41" x14ac:dyDescent="0.3">
      <c r="B22" s="3"/>
    </row>
    <row r="23" spans="2:41" x14ac:dyDescent="0.3">
      <c r="B23" s="4" t="s">
        <v>40</v>
      </c>
      <c r="C23" s="2" t="s">
        <v>305</v>
      </c>
    </row>
    <row r="24" spans="2:41" x14ac:dyDescent="0.3">
      <c r="B24" s="3"/>
      <c r="C24" t="s">
        <v>312</v>
      </c>
      <c r="AL24" s="2" t="s">
        <v>268</v>
      </c>
    </row>
    <row r="25" spans="2:41" x14ac:dyDescent="0.3">
      <c r="B25" s="3"/>
      <c r="AL25" t="s">
        <v>90</v>
      </c>
      <c r="AM25" t="s">
        <v>169</v>
      </c>
      <c r="AN25" t="s">
        <v>382</v>
      </c>
      <c r="AO25" t="s">
        <v>271</v>
      </c>
    </row>
    <row r="26" spans="2:41" x14ac:dyDescent="0.3">
      <c r="B26" s="4" t="s">
        <v>41</v>
      </c>
      <c r="C26" t="s">
        <v>302</v>
      </c>
      <c r="AK26" s="2" t="s">
        <v>269</v>
      </c>
      <c r="AL26" s="28">
        <v>10</v>
      </c>
      <c r="AM26" s="28">
        <v>85</v>
      </c>
      <c r="AN26" s="28">
        <f>表5[[#This Row],[伤害加成]]*IF(AL26&gt;=25, 1 + (MIN(13,(AL26-18)/3.5) - 1) * (MIN(13,(AL26-18)/3.5)  - 1) / 100 + 0.05 * (MIN(13,(AL26-18)/3.5)  - 1),1)-表5[[#This Row],[伤害加成]]</f>
        <v>0</v>
      </c>
      <c r="AO26" s="28">
        <v>30</v>
      </c>
    </row>
    <row r="27" spans="2:41" x14ac:dyDescent="0.3">
      <c r="C27" t="s">
        <v>303</v>
      </c>
      <c r="AL27" s="28">
        <v>20</v>
      </c>
      <c r="AM27" s="28">
        <v>160</v>
      </c>
      <c r="AN27" s="28">
        <f>表5[[#This Row],[伤害加成]]*IF(AL27&gt;=25, 1 + (MIN(13,(AL27-18)/3.5) - 1) * (MIN(13,(AL27-18)/3.5)  - 1) / 100 + 0.05 * (MIN(13,(AL27-18)/3.5)  - 1),1)-表5[[#This Row],[伤害加成]]</f>
        <v>0</v>
      </c>
      <c r="AO27" s="28">
        <v>30</v>
      </c>
    </row>
    <row r="28" spans="2:41" x14ac:dyDescent="0.3">
      <c r="C28" t="s">
        <v>181</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304</v>
      </c>
      <c r="AL30" s="28">
        <v>50</v>
      </c>
      <c r="AM30" s="28">
        <v>530</v>
      </c>
      <c r="AN30" s="28">
        <f>表5[[#This Row],[伤害加成]]*IF(AL30&gt;=25, 1 + (MIN(13,(AL30-18)/3.5) - 1) * (MIN(13,(AL30-18)/3.5)  - 1) / 100 + 0.05 * (MIN(13,(AL30-18)/3.5)  - 1),1)-表5[[#This Row],[伤害加成]]</f>
        <v>567.20816326530621</v>
      </c>
      <c r="AO30" s="28">
        <v>120</v>
      </c>
    </row>
    <row r="31" spans="2:41" x14ac:dyDescent="0.3">
      <c r="C31" t="s">
        <v>496</v>
      </c>
      <c r="AK31" s="2" t="s">
        <v>270</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331</v>
      </c>
      <c r="AL32" s="2" t="s">
        <v>383</v>
      </c>
      <c r="AM32" s="16">
        <f>IF(AL31&gt;=35,17*AL31-330,7*AL31+15) * IF(AL31&gt;=25, 1 + (MIN(13,(AL31-18)/3.5) - 1) * (MIN(13,(AL31-18)/3.5)  - 1) / 100 + 0.05 * (MIN(13,(AL31-18)/3.5)  - 1),1)</f>
        <v>355.53265306122444</v>
      </c>
    </row>
  </sheetData>
  <phoneticPr fontId="1" type="noConversion"/>
  <pageMargins left="0.7" right="0.7" top="0.75" bottom="0.75" header="0.3" footer="0.3"/>
  <pageSetup paperSize="9" orientation="portrait" r:id="rId1"/>
  <ignoredErrors>
    <ignoredError sqref="W10:W15 W3:W8 AL3:AL15 X3:X15 Z3:Z15 AB3:AB15 AI3:AI15 AE3:AE15 V3:V15 AC3:AC15 AA3:AA15 AF3:AF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0"/>
  <sheetViews>
    <sheetView zoomScaleNormal="100" workbookViewId="0">
      <selection activeCell="A17" sqref="A17"/>
    </sheetView>
  </sheetViews>
  <sheetFormatPr defaultRowHeight="14" x14ac:dyDescent="0.3"/>
  <cols>
    <col min="1" max="1" width="17.5" customWidth="1"/>
    <col min="2" max="2" width="9.16406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184</v>
      </c>
      <c r="D1" t="s">
        <v>46</v>
      </c>
      <c r="E1" t="s">
        <v>187</v>
      </c>
      <c r="H1" t="s">
        <v>188</v>
      </c>
      <c r="J1" t="s">
        <v>189</v>
      </c>
      <c r="K1" t="s">
        <v>190</v>
      </c>
      <c r="L1" t="s">
        <v>191</v>
      </c>
      <c r="M1" t="s">
        <v>165</v>
      </c>
      <c r="O1" t="s">
        <v>218</v>
      </c>
    </row>
    <row r="2" spans="1:20" x14ac:dyDescent="0.3">
      <c r="A2" t="s">
        <v>183</v>
      </c>
      <c r="B2" s="10" t="s">
        <v>49</v>
      </c>
      <c r="C2" s="10" t="s">
        <v>197</v>
      </c>
      <c r="D2" s="8" t="s">
        <v>14</v>
      </c>
      <c r="E2" s="8" t="s">
        <v>112</v>
      </c>
      <c r="F2" s="8" t="s">
        <v>167</v>
      </c>
      <c r="G2" s="8" t="s">
        <v>168</v>
      </c>
      <c r="H2" s="8" t="s">
        <v>169</v>
      </c>
      <c r="I2" s="8" t="s">
        <v>401</v>
      </c>
      <c r="J2" s="8" t="s">
        <v>170</v>
      </c>
      <c r="K2" s="8" t="s">
        <v>171</v>
      </c>
      <c r="L2" s="8" t="s">
        <v>172</v>
      </c>
      <c r="M2" s="8" t="s">
        <v>12</v>
      </c>
      <c r="N2" s="11" t="s">
        <v>152</v>
      </c>
      <c r="O2" s="14" t="s">
        <v>173</v>
      </c>
      <c r="P2" s="14" t="s">
        <v>174</v>
      </c>
      <c r="Q2" s="14" t="s">
        <v>175</v>
      </c>
      <c r="R2" s="11" t="s">
        <v>154</v>
      </c>
      <c r="S2" s="14" t="s">
        <v>402</v>
      </c>
      <c r="T2" s="14" t="s">
        <v>403</v>
      </c>
    </row>
    <row r="3" spans="1:20" x14ac:dyDescent="0.3">
      <c r="B3" s="2" t="s">
        <v>176</v>
      </c>
      <c r="C3" t="s">
        <v>179</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178</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263</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148</v>
      </c>
      <c r="B6" s="2"/>
      <c r="C6" t="s">
        <v>408</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150</v>
      </c>
      <c r="B7" s="3"/>
      <c r="C7" s="19" t="s">
        <v>185</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151</v>
      </c>
      <c r="B8" s="3"/>
      <c r="C8" t="s">
        <v>186</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158</v>
      </c>
      <c r="B9" s="3"/>
      <c r="C9" t="s">
        <v>259</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149</v>
      </c>
      <c r="B10" s="3"/>
      <c r="C10" s="1" t="s">
        <v>177</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159</v>
      </c>
      <c r="B11" s="3"/>
      <c r="D11" s="3"/>
      <c r="E11" s="3"/>
      <c r="F11" s="3"/>
      <c r="G11" s="3"/>
      <c r="H11" s="3"/>
      <c r="I11" s="3"/>
      <c r="J11" s="3"/>
      <c r="K11" s="3"/>
      <c r="L11" s="3"/>
      <c r="M11" s="3"/>
    </row>
    <row r="12" spans="1:20" x14ac:dyDescent="0.3">
      <c r="A12" s="15" t="s">
        <v>196</v>
      </c>
      <c r="B12" s="3"/>
      <c r="C12" s="24" t="s">
        <v>236</v>
      </c>
      <c r="D12" s="2" t="s">
        <v>406</v>
      </c>
      <c r="E12" s="3"/>
      <c r="F12" s="3"/>
      <c r="G12" s="3"/>
      <c r="H12" s="3"/>
      <c r="I12" s="3"/>
      <c r="J12" s="3"/>
      <c r="K12" s="3"/>
      <c r="L12" s="3"/>
      <c r="M12" s="3"/>
    </row>
    <row r="13" spans="1:20" x14ac:dyDescent="0.3">
      <c r="B13" s="3"/>
      <c r="C13" s="2"/>
      <c r="D13" s="2" t="s">
        <v>405</v>
      </c>
      <c r="E13" s="3"/>
      <c r="F13" s="3"/>
      <c r="G13" s="3"/>
      <c r="H13" s="3"/>
      <c r="I13" s="3"/>
      <c r="J13" s="3"/>
      <c r="K13" s="3"/>
      <c r="L13" s="3"/>
      <c r="M13" s="3"/>
      <c r="S13" t="e">
        <f>10+表2_2[[#This Row],[限制等级]]*0.2</f>
        <v>#VALUE!</v>
      </c>
      <c r="T13" t="e">
        <f>25+表2_2[[#This Row],[限制等级]]*0.2</f>
        <v>#VALUE!</v>
      </c>
    </row>
    <row r="14" spans="1:20" x14ac:dyDescent="0.3">
      <c r="B14" s="2"/>
      <c r="D14" s="3"/>
      <c r="E14" s="3"/>
      <c r="F14" s="3"/>
      <c r="G14" s="3"/>
      <c r="H14" s="3"/>
      <c r="I14" s="3"/>
      <c r="J14" s="3"/>
      <c r="K14" s="3"/>
      <c r="L14" s="3"/>
      <c r="M14" s="3"/>
    </row>
    <row r="15" spans="1:20" x14ac:dyDescent="0.3">
      <c r="B15" s="2" t="s">
        <v>194</v>
      </c>
      <c r="C15" t="s">
        <v>195</v>
      </c>
      <c r="D15">
        <v>20</v>
      </c>
      <c r="E15">
        <v>90</v>
      </c>
      <c r="F15">
        <v>120</v>
      </c>
      <c r="G15">
        <v>80</v>
      </c>
      <c r="H15">
        <v>35</v>
      </c>
      <c r="I15">
        <v>0</v>
      </c>
      <c r="J15">
        <v>0</v>
      </c>
      <c r="K15">
        <v>0</v>
      </c>
      <c r="L15">
        <v>0</v>
      </c>
      <c r="M15">
        <v>1</v>
      </c>
      <c r="O1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5">
        <f>表2_2[[#This Row],[限制等级]]*20</f>
        <v>400</v>
      </c>
      <c r="Q15">
        <f t="shared" ref="Q15:Q16" si="1">P15*1.25^M15</f>
        <v>500</v>
      </c>
      <c r="S15">
        <v>0</v>
      </c>
      <c r="T15">
        <v>0</v>
      </c>
    </row>
    <row r="16" spans="1:20" x14ac:dyDescent="0.3">
      <c r="B16" s="3"/>
      <c r="C16" s="1" t="s">
        <v>260</v>
      </c>
      <c r="D16" s="12">
        <v>35</v>
      </c>
      <c r="E16" s="12">
        <v>100</v>
      </c>
      <c r="F16" s="12">
        <v>250</v>
      </c>
      <c r="G16" s="12">
        <v>250</v>
      </c>
      <c r="H16" s="12">
        <v>0</v>
      </c>
      <c r="I16" s="12">
        <v>0</v>
      </c>
      <c r="J16" s="12">
        <v>0</v>
      </c>
      <c r="K16" s="12">
        <v>0</v>
      </c>
      <c r="L16" s="12">
        <v>0</v>
      </c>
      <c r="M16" s="12">
        <v>0</v>
      </c>
      <c r="O16"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6">
        <f>表2_2[[#This Row],[限制等级]]*20</f>
        <v>700</v>
      </c>
      <c r="Q16" s="16">
        <f t="shared" si="1"/>
        <v>700</v>
      </c>
      <c r="S16">
        <v>0</v>
      </c>
      <c r="T16">
        <v>0</v>
      </c>
    </row>
    <row r="17" spans="2:20" x14ac:dyDescent="0.3">
      <c r="B17" s="3"/>
      <c r="C17" s="1"/>
      <c r="D17" s="1"/>
      <c r="E17" s="1"/>
      <c r="F17" s="1"/>
      <c r="G17" s="1"/>
      <c r="H17" s="1"/>
      <c r="I17" s="1"/>
      <c r="J17" s="1"/>
      <c r="K17" s="1"/>
      <c r="L17" s="1"/>
      <c r="M17" s="1"/>
      <c r="N17" s="1"/>
      <c r="O17" s="1"/>
      <c r="P17" s="1"/>
      <c r="Q17" s="1"/>
      <c r="R17" s="1"/>
      <c r="S17" s="1"/>
      <c r="T17" s="1"/>
    </row>
    <row r="18" spans="2:20" x14ac:dyDescent="0.3">
      <c r="B18" s="3"/>
      <c r="C18" s="24" t="s">
        <v>236</v>
      </c>
      <c r="D18" s="2" t="s">
        <v>407</v>
      </c>
      <c r="E18" s="1"/>
      <c r="F18" s="1"/>
      <c r="G18" s="1"/>
      <c r="H18" s="1"/>
      <c r="I18" s="1"/>
      <c r="J18" s="1"/>
      <c r="K18" s="1"/>
      <c r="L18" s="1"/>
      <c r="M18" s="1"/>
      <c r="N18" s="1"/>
      <c r="O18" s="1"/>
      <c r="P18" s="1"/>
      <c r="Q18" s="1"/>
      <c r="R18" s="1"/>
      <c r="S18" s="1"/>
      <c r="T18" s="1"/>
    </row>
    <row r="19" spans="2:20" x14ac:dyDescent="0.3">
      <c r="B19" s="3"/>
    </row>
    <row r="20" spans="2:20" x14ac:dyDescent="0.3">
      <c r="B20" s="4" t="s">
        <v>40</v>
      </c>
      <c r="C20" s="2" t="s">
        <v>192</v>
      </c>
    </row>
    <row r="21" spans="2:20" x14ac:dyDescent="0.3">
      <c r="B21" s="3"/>
      <c r="C21" t="s">
        <v>207</v>
      </c>
    </row>
    <row r="22" spans="2:20" x14ac:dyDescent="0.3">
      <c r="B22" s="3"/>
    </row>
    <row r="23" spans="2:20" x14ac:dyDescent="0.3">
      <c r="B23" s="4" t="s">
        <v>41</v>
      </c>
      <c r="C23" t="s">
        <v>324</v>
      </c>
    </row>
    <row r="24" spans="2:20" x14ac:dyDescent="0.3">
      <c r="C24" t="s">
        <v>199</v>
      </c>
    </row>
    <row r="25" spans="2:20" x14ac:dyDescent="0.3">
      <c r="C25" t="s">
        <v>48</v>
      </c>
    </row>
    <row r="26" spans="2:20" x14ac:dyDescent="0.3">
      <c r="C26" t="s">
        <v>182</v>
      </c>
    </row>
    <row r="27" spans="2:20" x14ac:dyDescent="0.3">
      <c r="C27" t="s">
        <v>323</v>
      </c>
    </row>
    <row r="28" spans="2:20" x14ac:dyDescent="0.3">
      <c r="C28" t="s">
        <v>193</v>
      </c>
    </row>
    <row r="29" spans="2:20" x14ac:dyDescent="0.3">
      <c r="C29" t="s">
        <v>404</v>
      </c>
    </row>
    <row r="30" spans="2:20" x14ac:dyDescent="0.3">
      <c r="C30" t="s">
        <v>325</v>
      </c>
    </row>
  </sheetData>
  <phoneticPr fontId="1" type="noConversion"/>
  <pageMargins left="0.7" right="0.7" top="0.75" bottom="0.75" header="0.3" footer="0.3"/>
  <pageSetup paperSize="9" orientation="portrait" r:id="rId1"/>
  <ignoredErrors>
    <ignoredError sqref="S15:T15 S16:T16"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170</v>
      </c>
      <c r="G2" t="s">
        <v>272</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330</v>
      </c>
    </row>
    <row r="11" spans="1:10" x14ac:dyDescent="0.3">
      <c r="C11" s="2" t="s">
        <v>319</v>
      </c>
    </row>
    <row r="12" spans="1:10" x14ac:dyDescent="0.3">
      <c r="C12" t="s">
        <v>332</v>
      </c>
    </row>
    <row r="13" spans="1:10" x14ac:dyDescent="0.3">
      <c r="C13" s="1" t="s">
        <v>322</v>
      </c>
    </row>
    <row r="15" spans="1:10" x14ac:dyDescent="0.3">
      <c r="C15" t="s">
        <v>326</v>
      </c>
      <c r="F15" t="s">
        <v>14</v>
      </c>
      <c r="G15" t="s">
        <v>328</v>
      </c>
      <c r="J15" t="s">
        <v>327</v>
      </c>
    </row>
    <row r="16" spans="1:10" x14ac:dyDescent="0.3">
      <c r="C16" t="s">
        <v>329</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C35" sqref="C35"/>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321</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s="50">
        <f>1.5*E3*1.25^H3*SQRT(G3/30)/(F3+0.5)</f>
        <v>3181.9805153394641</v>
      </c>
    </row>
    <row r="4" spans="1:11" x14ac:dyDescent="0.3">
      <c r="D4">
        <v>1800</v>
      </c>
      <c r="E4">
        <v>7500</v>
      </c>
      <c r="F4">
        <v>6</v>
      </c>
      <c r="G4">
        <v>33</v>
      </c>
      <c r="H4">
        <v>0</v>
      </c>
      <c r="K4" s="50">
        <f>1.5*E4*1.25^H4*SQRT(G4/30)/(F4+0.5)</f>
        <v>1815.2460833714163</v>
      </c>
    </row>
    <row r="5" spans="1:11" x14ac:dyDescent="0.3">
      <c r="C5" s="1" t="s">
        <v>53</v>
      </c>
      <c r="D5">
        <v>3000</v>
      </c>
      <c r="E5">
        <v>7500</v>
      </c>
      <c r="F5">
        <v>5</v>
      </c>
      <c r="G5">
        <v>50</v>
      </c>
      <c r="H5">
        <v>0</v>
      </c>
      <c r="K5" s="48">
        <f>1.5*E5*1.25^H5*SQRT(G5/30)/(F5+0.5)</f>
        <v>2640.6704633232384</v>
      </c>
    </row>
    <row r="8" spans="1:11" x14ac:dyDescent="0.3">
      <c r="C8" t="s">
        <v>140</v>
      </c>
    </row>
    <row r="11" spans="1:11" x14ac:dyDescent="0.3">
      <c r="B11" t="s">
        <v>32</v>
      </c>
      <c r="D11" s="2" t="s">
        <v>30</v>
      </c>
      <c r="E11" s="2" t="s">
        <v>33</v>
      </c>
      <c r="F11" s="2" t="s">
        <v>14</v>
      </c>
      <c r="G11" s="2" t="s">
        <v>409</v>
      </c>
      <c r="K11" s="2" t="s">
        <v>31</v>
      </c>
    </row>
    <row r="12" spans="1:11" x14ac:dyDescent="0.3">
      <c r="D12">
        <v>1000</v>
      </c>
      <c r="E12">
        <v>1000</v>
      </c>
      <c r="F12">
        <v>1</v>
      </c>
      <c r="G12">
        <v>1</v>
      </c>
      <c r="K12" s="50">
        <f>IF(E12 &gt; 800 +F12 * 200 + IF(F12 &gt;=30,1200 * (F12 - 29) * (F12 - 29),0), 800 +F12 * 200+ IF(F12 &gt;=30,1200  * (F12 - 29) * (F12 - 29),0) + (E12 - 800 -F12 * 200-IF(F12 &gt;=30,1200 * (F12 - 29) * (F12 - 29),0))/10,E12 )/G12</f>
        <v>1000</v>
      </c>
    </row>
    <row r="13" spans="1:11" ht="13" customHeight="1" x14ac:dyDescent="0.3">
      <c r="C13" s="1" t="s">
        <v>54</v>
      </c>
      <c r="D13">
        <v>8000</v>
      </c>
      <c r="E13">
        <v>8000</v>
      </c>
      <c r="F13">
        <v>30</v>
      </c>
      <c r="G13">
        <v>1</v>
      </c>
      <c r="K13" s="48">
        <f>IF(E13 &gt; 800 +F13 * 200 + IF(F13 &gt;=30,1200 * (F13 - 29) * (F13 - 29),0), 800 +F13 * 200+ IF(F13 &gt;=30,1200  * (F13 - 29) * (F13 - 29),0) + (E13 - 800 -F13 * 200-IF(F13 &gt;=30,1200 * (F13 - 29) * (F13 - 29),0))/10,E13 )/G13</f>
        <v>8000</v>
      </c>
    </row>
    <row r="17" spans="3:4" x14ac:dyDescent="0.3">
      <c r="C17" s="42" t="s">
        <v>277</v>
      </c>
      <c r="D17" t="s">
        <v>410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30"/>
  <sheetViews>
    <sheetView workbookViewId="0">
      <selection activeCell="F10" sqref="F10"/>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272</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275</v>
      </c>
      <c r="D11" t="s">
        <v>317</v>
      </c>
    </row>
    <row r="12" spans="1:14" x14ac:dyDescent="0.3">
      <c r="C12" t="s">
        <v>315</v>
      </c>
      <c r="D12" t="s">
        <v>316</v>
      </c>
    </row>
    <row r="13" spans="1:14" x14ac:dyDescent="0.3">
      <c r="D13" t="s">
        <v>320</v>
      </c>
    </row>
    <row r="14" spans="1:14" x14ac:dyDescent="0.3">
      <c r="C14" t="s">
        <v>318</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166</v>
      </c>
    </row>
    <row r="25" spans="3:14" x14ac:dyDescent="0.3">
      <c r="C25" t="s">
        <v>131</v>
      </c>
    </row>
    <row r="26" spans="3:14" x14ac:dyDescent="0.3">
      <c r="D26" t="s">
        <v>129</v>
      </c>
    </row>
    <row r="27" spans="3:14" x14ac:dyDescent="0.3">
      <c r="D27" t="s">
        <v>262</v>
      </c>
    </row>
    <row r="28" spans="3:14" x14ac:dyDescent="0.3">
      <c r="D28" t="s">
        <v>130</v>
      </c>
    </row>
    <row r="29" spans="3:14" x14ac:dyDescent="0.3">
      <c r="D29" t="s">
        <v>313</v>
      </c>
    </row>
    <row r="30" spans="3:14" x14ac:dyDescent="0.3">
      <c r="D30" t="s">
        <v>314</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F10" sqref="F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201</v>
      </c>
      <c r="D1" t="s">
        <v>46</v>
      </c>
      <c r="E1" s="21" t="s">
        <v>202</v>
      </c>
      <c r="F1" t="s">
        <v>43</v>
      </c>
      <c r="G1" t="s">
        <v>44</v>
      </c>
      <c r="H1" t="s">
        <v>45</v>
      </c>
      <c r="N1" t="s">
        <v>219</v>
      </c>
    </row>
    <row r="2" spans="1:17" x14ac:dyDescent="0.3">
      <c r="B2" s="10" t="s">
        <v>49</v>
      </c>
      <c r="C2" s="10" t="s">
        <v>197</v>
      </c>
      <c r="D2" s="8" t="s">
        <v>14</v>
      </c>
      <c r="E2" s="20" t="s">
        <v>36</v>
      </c>
      <c r="F2" s="8" t="s">
        <v>212</v>
      </c>
      <c r="G2" s="8" t="s">
        <v>213</v>
      </c>
      <c r="H2" s="8" t="s">
        <v>210</v>
      </c>
      <c r="I2" s="8" t="s">
        <v>211</v>
      </c>
      <c r="J2" s="8" t="s">
        <v>246</v>
      </c>
      <c r="K2" s="11" t="s">
        <v>220</v>
      </c>
      <c r="L2" s="11" t="s">
        <v>222</v>
      </c>
      <c r="M2" s="11" t="s">
        <v>221</v>
      </c>
      <c r="N2" s="26" t="s">
        <v>203</v>
      </c>
      <c r="O2" s="26" t="s">
        <v>204</v>
      </c>
      <c r="P2" s="26" t="s">
        <v>205</v>
      </c>
      <c r="Q2" s="11" t="s">
        <v>154</v>
      </c>
    </row>
    <row r="3" spans="1:17" x14ac:dyDescent="0.3">
      <c r="B3" s="2" t="s">
        <v>176</v>
      </c>
      <c r="C3" t="s">
        <v>227</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177</v>
      </c>
      <c r="D4" s="12">
        <v>35</v>
      </c>
      <c r="E4" s="22">
        <v>1</v>
      </c>
      <c r="F4" s="12">
        <v>70000</v>
      </c>
      <c r="G4" s="12">
        <v>0</v>
      </c>
      <c r="H4" s="12">
        <v>0</v>
      </c>
      <c r="I4" s="12">
        <v>0</v>
      </c>
      <c r="J4" s="12">
        <v>0</v>
      </c>
      <c r="N4" s="17">
        <f>表2_4[[#This Row],[金币需求]]+表2_4[[#This Row],[K点需求]]*30+表2_4[[#This Row],[材料价格]]+表2_4[[#This Row],[装备折算价格]]+表2_4[[#This Row],[掉落物折算价格]]</f>
        <v>70000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236</v>
      </c>
      <c r="D6" s="2" t="s">
        <v>257</v>
      </c>
      <c r="E6" s="23"/>
      <c r="F6" s="3"/>
      <c r="G6" s="3"/>
      <c r="H6" s="3"/>
      <c r="I6" s="3"/>
      <c r="J6" s="3"/>
    </row>
    <row r="7" spans="1:17" x14ac:dyDescent="0.3">
      <c r="A7" s="6" t="s">
        <v>151</v>
      </c>
      <c r="B7" s="3"/>
      <c r="D7" s="3"/>
      <c r="E7" s="23"/>
      <c r="F7" s="3"/>
      <c r="G7" s="3"/>
      <c r="H7" s="3"/>
      <c r="I7" s="3"/>
      <c r="J7" s="3"/>
    </row>
    <row r="8" spans="1:17" x14ac:dyDescent="0.3">
      <c r="A8" s="6" t="s">
        <v>158</v>
      </c>
      <c r="B8" s="2" t="s">
        <v>217</v>
      </c>
      <c r="D8" s="8" t="s">
        <v>214</v>
      </c>
      <c r="E8" s="20" t="s">
        <v>215</v>
      </c>
      <c r="F8" s="8" t="s">
        <v>216</v>
      </c>
      <c r="G8" s="3"/>
      <c r="I8" s="3"/>
      <c r="J8" s="3"/>
      <c r="N8" s="14" t="s">
        <v>210</v>
      </c>
    </row>
    <row r="9" spans="1:17" x14ac:dyDescent="0.3">
      <c r="A9" s="15" t="s">
        <v>149</v>
      </c>
      <c r="B9" s="3"/>
      <c r="C9" t="s">
        <v>200</v>
      </c>
      <c r="D9" s="3">
        <v>5</v>
      </c>
      <c r="E9" s="23">
        <v>0</v>
      </c>
      <c r="F9" s="3">
        <v>1</v>
      </c>
      <c r="G9" s="3"/>
      <c r="I9" s="3"/>
      <c r="J9" s="3"/>
      <c r="N9" s="3">
        <f>1000*表2_4[[#This Row],[限制等级]]+3000*表2_4[[#This Row],[加权层数]]+5000*表2_4[[#This Row],[金币需求]]</f>
        <v>10000</v>
      </c>
    </row>
    <row r="10" spans="1:17" x14ac:dyDescent="0.3">
      <c r="A10" s="15" t="s">
        <v>159</v>
      </c>
      <c r="B10" s="3"/>
      <c r="C10" s="1" t="s">
        <v>177</v>
      </c>
      <c r="D10" s="12">
        <v>0</v>
      </c>
      <c r="E10" s="22">
        <v>0</v>
      </c>
      <c r="F10" s="12">
        <v>0</v>
      </c>
      <c r="G10" s="3"/>
      <c r="N10" s="17">
        <f>1000*表2_4[[#This Row],[限制等级]]+3000*表2_4[[#This Row],[加权层数]]+5000*表2_4[[#This Row],[金币需求]]</f>
        <v>0</v>
      </c>
    </row>
    <row r="11" spans="1:17" x14ac:dyDescent="0.3">
      <c r="A11" s="15" t="s">
        <v>374</v>
      </c>
      <c r="B11" s="3"/>
      <c r="D11" s="3"/>
      <c r="E11" s="23"/>
      <c r="F11" s="3"/>
      <c r="G11" s="3"/>
      <c r="H11" s="3"/>
      <c r="I11" s="3"/>
      <c r="J11" s="3"/>
    </row>
    <row r="12" spans="1:17" x14ac:dyDescent="0.3">
      <c r="B12" s="2" t="s">
        <v>223</v>
      </c>
      <c r="D12" s="20" t="s">
        <v>225</v>
      </c>
      <c r="E12" s="20" t="s">
        <v>14</v>
      </c>
      <c r="F12" s="8" t="s">
        <v>36</v>
      </c>
      <c r="G12" s="8" t="s">
        <v>229</v>
      </c>
      <c r="H12" s="8" t="s">
        <v>88</v>
      </c>
      <c r="I12" s="8" t="s">
        <v>224</v>
      </c>
      <c r="J12" s="14" t="s">
        <v>230</v>
      </c>
      <c r="K12" s="3"/>
      <c r="L12" s="3"/>
      <c r="M12" s="3"/>
      <c r="N12" s="14" t="s">
        <v>211</v>
      </c>
      <c r="O12" s="2"/>
    </row>
    <row r="13" spans="1:17" x14ac:dyDescent="0.3">
      <c r="B13" s="2"/>
      <c r="C13" t="s">
        <v>227</v>
      </c>
      <c r="D13" t="s">
        <v>226</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228</v>
      </c>
      <c r="E14" s="21">
        <v>0</v>
      </c>
      <c r="F14">
        <v>0</v>
      </c>
      <c r="G14">
        <v>1</v>
      </c>
      <c r="H14">
        <v>1</v>
      </c>
      <c r="I14">
        <v>0</v>
      </c>
      <c r="J14" s="3">
        <f>表2_4[[#This Row],[装备折算价格]]*0.25 * E14*3900*(1.6)^(F14)*H14/G14</f>
        <v>0</v>
      </c>
    </row>
    <row r="15" spans="1:17" x14ac:dyDescent="0.3">
      <c r="B15" s="3"/>
      <c r="C15" s="1" t="s">
        <v>177</v>
      </c>
      <c r="D15" t="s">
        <v>231</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232</v>
      </c>
      <c r="E16" s="22">
        <v>1</v>
      </c>
      <c r="F16" s="12">
        <v>0</v>
      </c>
      <c r="G16" s="12">
        <v>1</v>
      </c>
      <c r="H16" s="12">
        <v>1</v>
      </c>
      <c r="I16" s="12">
        <v>0</v>
      </c>
      <c r="J16" s="3">
        <f>表2_4[[#This Row],[装备折算价格]]*0.25 * E16*3900*(1.6)^(F16)*H16/G16</f>
        <v>0</v>
      </c>
    </row>
    <row r="17" spans="2:17" x14ac:dyDescent="0.3">
      <c r="B17" s="3"/>
      <c r="D17" t="s">
        <v>233</v>
      </c>
      <c r="E17" s="22">
        <v>1</v>
      </c>
      <c r="F17" s="12">
        <v>0</v>
      </c>
      <c r="G17" s="12">
        <v>1</v>
      </c>
      <c r="H17" s="12">
        <v>1</v>
      </c>
      <c r="I17" s="12">
        <v>0</v>
      </c>
      <c r="J17" s="3">
        <f>表2_4[[#This Row],[装备折算价格]]*0.25 * E17*3900*(1.6)^(F17)*H17/G17</f>
        <v>0</v>
      </c>
    </row>
    <row r="18" spans="2:17" x14ac:dyDescent="0.3">
      <c r="B18" s="3"/>
      <c r="C18" s="2"/>
      <c r="D18" t="s">
        <v>234</v>
      </c>
      <c r="E18" s="22">
        <v>1</v>
      </c>
      <c r="F18" s="12">
        <v>0</v>
      </c>
      <c r="G18" s="12">
        <v>1</v>
      </c>
      <c r="H18" s="12">
        <v>1</v>
      </c>
      <c r="I18" s="12">
        <v>0</v>
      </c>
      <c r="J18" s="3">
        <f>表2_4[[#This Row],[装备折算价格]]*0.25 * E18*3900*(1.6)^(F18)*H18/G18</f>
        <v>0</v>
      </c>
    </row>
    <row r="19" spans="2:17" x14ac:dyDescent="0.3">
      <c r="B19" s="3"/>
      <c r="C19" s="24" t="s">
        <v>236</v>
      </c>
      <c r="D19" s="2" t="s">
        <v>237</v>
      </c>
    </row>
    <row r="20" spans="2:17" x14ac:dyDescent="0.3">
      <c r="B20" s="3"/>
      <c r="D20" s="2" t="s">
        <v>235</v>
      </c>
    </row>
    <row r="21" spans="2:17" x14ac:dyDescent="0.3">
      <c r="B21" s="3"/>
    </row>
    <row r="22" spans="2:17" x14ac:dyDescent="0.3">
      <c r="B22" s="2" t="s">
        <v>373</v>
      </c>
      <c r="D22" s="20" t="s">
        <v>225</v>
      </c>
      <c r="E22" s="20" t="s">
        <v>248</v>
      </c>
      <c r="F22" s="20" t="s">
        <v>238</v>
      </c>
      <c r="G22" s="20" t="s">
        <v>239</v>
      </c>
      <c r="H22" s="20" t="s">
        <v>240</v>
      </c>
      <c r="I22" s="20" t="s">
        <v>241</v>
      </c>
      <c r="J22" s="20" t="s">
        <v>242</v>
      </c>
      <c r="K22" s="25" t="s">
        <v>243</v>
      </c>
      <c r="L22" s="25" t="s">
        <v>244</v>
      </c>
      <c r="N22" s="26" t="s">
        <v>246</v>
      </c>
      <c r="P22" s="26" t="s">
        <v>250</v>
      </c>
      <c r="Q22" s="26" t="s">
        <v>245</v>
      </c>
    </row>
    <row r="23" spans="2:17" x14ac:dyDescent="0.3">
      <c r="B23" s="3"/>
      <c r="C23" t="s">
        <v>227</v>
      </c>
      <c r="D23" t="s">
        <v>253</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254</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255</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256</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236</v>
      </c>
      <c r="D27" s="2" t="s">
        <v>252</v>
      </c>
      <c r="F27" s="21"/>
      <c r="G27" s="21"/>
      <c r="H27" s="21"/>
      <c r="I27" s="21"/>
      <c r="J27" s="21"/>
      <c r="N27" s="3" t="s">
        <v>371</v>
      </c>
    </row>
    <row r="28" spans="2:17" x14ac:dyDescent="0.3">
      <c r="B28" s="3"/>
      <c r="C28" s="24"/>
      <c r="D28" s="2" t="s">
        <v>249</v>
      </c>
      <c r="F28" s="21"/>
      <c r="G28" s="21"/>
      <c r="H28" s="21"/>
      <c r="I28" s="21"/>
      <c r="J28" s="21"/>
    </row>
    <row r="29" spans="2:17" x14ac:dyDescent="0.3">
      <c r="B29" s="3"/>
      <c r="D29" s="2" t="s">
        <v>251</v>
      </c>
    </row>
    <row r="30" spans="2:17" x14ac:dyDescent="0.3">
      <c r="B30" s="4" t="s">
        <v>40</v>
      </c>
      <c r="C30" s="2" t="s">
        <v>206</v>
      </c>
    </row>
    <row r="31" spans="2:17" x14ac:dyDescent="0.3">
      <c r="B31" s="3"/>
      <c r="C31" t="s">
        <v>209</v>
      </c>
    </row>
    <row r="32" spans="2:17" x14ac:dyDescent="0.3">
      <c r="B32" s="3"/>
    </row>
    <row r="33" spans="2:3" x14ac:dyDescent="0.3">
      <c r="B33" s="4" t="s">
        <v>41</v>
      </c>
      <c r="C33" t="s">
        <v>247</v>
      </c>
    </row>
  </sheetData>
  <phoneticPr fontId="1"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G26" sqref="G26"/>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432</v>
      </c>
      <c r="E2" s="33" t="s">
        <v>239</v>
      </c>
      <c r="F2" s="33" t="s">
        <v>240</v>
      </c>
      <c r="G2" s="33" t="s">
        <v>338</v>
      </c>
      <c r="H2" s="33" t="s">
        <v>356</v>
      </c>
      <c r="I2" s="33" t="s">
        <v>94</v>
      </c>
      <c r="J2" s="33" t="s">
        <v>357</v>
      </c>
      <c r="K2" s="33" t="s">
        <v>339</v>
      </c>
      <c r="M2" s="35" t="s">
        <v>337</v>
      </c>
      <c r="O2" s="35" t="s">
        <v>336</v>
      </c>
    </row>
    <row r="3" spans="3:15" x14ac:dyDescent="0.3">
      <c r="C3" t="s">
        <v>335</v>
      </c>
      <c r="D3" s="34">
        <v>1.5</v>
      </c>
      <c r="E3" s="27">
        <v>1.5</v>
      </c>
      <c r="F3" s="27">
        <v>1.5</v>
      </c>
      <c r="G3" s="45">
        <v>20000</v>
      </c>
      <c r="H3" s="27">
        <v>22000</v>
      </c>
      <c r="I3" s="27">
        <v>20000</v>
      </c>
      <c r="J3" s="45">
        <v>0</v>
      </c>
      <c r="K3" s="27">
        <v>0</v>
      </c>
      <c r="M3" s="45">
        <f>G3+H3*0.5+I3/D3+IF(D3&gt;4,K3*300/(D3-2.5),K3*300)+J3*0.5</f>
        <v>44333.333333333336</v>
      </c>
      <c r="O3" s="45">
        <f>(D3*13000*E3*F3)</f>
        <v>43875</v>
      </c>
    </row>
    <row r="4" spans="3:15" x14ac:dyDescent="0.3">
      <c r="C4" t="s">
        <v>355</v>
      </c>
      <c r="D4" s="34">
        <v>4</v>
      </c>
      <c r="E4" s="27">
        <v>2</v>
      </c>
      <c r="F4" s="27">
        <v>1.5</v>
      </c>
      <c r="G4" s="45">
        <v>50000</v>
      </c>
      <c r="H4" s="27">
        <v>10000</v>
      </c>
      <c r="I4" s="27">
        <v>60000</v>
      </c>
      <c r="J4" s="45">
        <v>0</v>
      </c>
      <c r="K4" s="27">
        <v>300</v>
      </c>
      <c r="M4" s="45">
        <f t="shared" ref="M4:M6" si="0">G4+H4*0.5+I4/D4+IF(D4&gt;4,K4*300/(D4-2.5),K4*300)+J4*0.5</f>
        <v>160000</v>
      </c>
      <c r="O4" s="45">
        <f t="shared" ref="O4:O6" si="1">(D4*13000*E4*F4)</f>
        <v>156000</v>
      </c>
    </row>
    <row r="5" spans="3:15" x14ac:dyDescent="0.3">
      <c r="C5" t="s">
        <v>359</v>
      </c>
      <c r="D5" s="34">
        <v>4</v>
      </c>
      <c r="E5" s="27">
        <v>2</v>
      </c>
      <c r="F5" s="27">
        <v>2</v>
      </c>
      <c r="G5" s="45">
        <v>50000</v>
      </c>
      <c r="H5" s="27">
        <v>4000</v>
      </c>
      <c r="I5" s="27">
        <v>50000</v>
      </c>
      <c r="J5" s="45">
        <v>260000</v>
      </c>
      <c r="K5" s="27">
        <v>0</v>
      </c>
      <c r="M5" s="45">
        <f t="shared" si="0"/>
        <v>194500</v>
      </c>
      <c r="O5" s="45">
        <f t="shared" si="1"/>
        <v>208000</v>
      </c>
    </row>
    <row r="6" spans="3:15" x14ac:dyDescent="0.3">
      <c r="C6" s="1" t="s">
        <v>334</v>
      </c>
      <c r="D6" s="36">
        <v>1</v>
      </c>
      <c r="E6" s="37">
        <v>1</v>
      </c>
      <c r="F6" s="37">
        <v>1</v>
      </c>
      <c r="G6" s="37">
        <v>0</v>
      </c>
      <c r="H6" s="37">
        <v>0</v>
      </c>
      <c r="I6" s="37">
        <v>0</v>
      </c>
      <c r="J6" s="37">
        <v>0</v>
      </c>
      <c r="K6" s="37">
        <v>0</v>
      </c>
      <c r="M6" s="40">
        <f t="shared" si="0"/>
        <v>0</v>
      </c>
      <c r="O6" s="40">
        <f t="shared" si="1"/>
        <v>13000</v>
      </c>
    </row>
    <row r="8" spans="3:15" x14ac:dyDescent="0.3">
      <c r="C8" s="24" t="s">
        <v>236</v>
      </c>
      <c r="D8" s="2" t="s">
        <v>433</v>
      </c>
    </row>
    <row r="9" spans="3:15" x14ac:dyDescent="0.3">
      <c r="D9" s="2" t="s">
        <v>372</v>
      </c>
    </row>
    <row r="10" spans="3:15" x14ac:dyDescent="0.3">
      <c r="D10" s="2" t="s">
        <v>358</v>
      </c>
    </row>
    <row r="11" spans="3:15" x14ac:dyDescent="0.3">
      <c r="I11" s="2" t="s">
        <v>360</v>
      </c>
    </row>
    <row r="12" spans="3:15" x14ac:dyDescent="0.3">
      <c r="I12" s="33" t="s">
        <v>340</v>
      </c>
      <c r="J12" s="33" t="s">
        <v>224</v>
      </c>
      <c r="K12" s="33" t="s">
        <v>353</v>
      </c>
      <c r="L12" s="33" t="s">
        <v>354</v>
      </c>
      <c r="M12" s="35" t="s">
        <v>342</v>
      </c>
    </row>
    <row r="13" spans="3:15" x14ac:dyDescent="0.3">
      <c r="D13" s="2" t="s">
        <v>431</v>
      </c>
      <c r="H13" t="s">
        <v>87</v>
      </c>
      <c r="I13" s="46" t="s">
        <v>343</v>
      </c>
      <c r="J13" s="45">
        <v>20</v>
      </c>
      <c r="K13" s="45">
        <v>500</v>
      </c>
      <c r="L13" s="45">
        <f t="shared" ref="L13:L22" si="2">J13*K13</f>
        <v>10000</v>
      </c>
      <c r="M13">
        <f>SUM(L13:L13)</f>
        <v>10000</v>
      </c>
    </row>
    <row r="14" spans="3:15" x14ac:dyDescent="0.3">
      <c r="D14" s="33" t="s">
        <v>412</v>
      </c>
      <c r="E14" s="35" t="s">
        <v>413</v>
      </c>
      <c r="F14" s="33" t="s">
        <v>416</v>
      </c>
      <c r="H14" s="1" t="s">
        <v>363</v>
      </c>
      <c r="I14" s="46" t="s">
        <v>344</v>
      </c>
      <c r="J14" s="45">
        <v>0</v>
      </c>
      <c r="K14" s="45">
        <v>0</v>
      </c>
      <c r="L14" s="45">
        <f t="shared" si="2"/>
        <v>0</v>
      </c>
      <c r="M14" s="40">
        <f>SUM(L14:L22)</f>
        <v>0</v>
      </c>
    </row>
    <row r="15" spans="3:15" x14ac:dyDescent="0.3">
      <c r="D15" t="s">
        <v>411</v>
      </c>
      <c r="E15" s="40">
        <v>1</v>
      </c>
      <c r="I15" s="46" t="s">
        <v>345</v>
      </c>
      <c r="J15" s="45">
        <v>0</v>
      </c>
      <c r="K15" s="45">
        <v>0</v>
      </c>
      <c r="L15" s="45">
        <f t="shared" si="2"/>
        <v>0</v>
      </c>
    </row>
    <row r="16" spans="3:15" x14ac:dyDescent="0.3">
      <c r="D16" t="s">
        <v>414</v>
      </c>
      <c r="E16" s="40">
        <v>2</v>
      </c>
      <c r="I16" s="46" t="s">
        <v>346</v>
      </c>
      <c r="J16" s="45">
        <v>0</v>
      </c>
      <c r="K16" s="45">
        <v>0</v>
      </c>
      <c r="L16" s="45">
        <f t="shared" si="2"/>
        <v>0</v>
      </c>
    </row>
    <row r="17" spans="4:16" x14ac:dyDescent="0.3">
      <c r="D17" t="s">
        <v>415</v>
      </c>
      <c r="E17" s="40">
        <v>3</v>
      </c>
      <c r="I17" s="46" t="s">
        <v>347</v>
      </c>
      <c r="J17" s="45">
        <v>0</v>
      </c>
      <c r="K17" s="45">
        <v>0</v>
      </c>
      <c r="L17" s="45">
        <f t="shared" si="2"/>
        <v>0</v>
      </c>
    </row>
    <row r="18" spans="4:16" x14ac:dyDescent="0.3">
      <c r="D18" t="s">
        <v>417</v>
      </c>
      <c r="E18" s="40">
        <v>4</v>
      </c>
      <c r="F18" t="s">
        <v>428</v>
      </c>
      <c r="I18" s="46" t="s">
        <v>348</v>
      </c>
      <c r="J18" s="45">
        <v>0</v>
      </c>
      <c r="K18" s="45">
        <v>0</v>
      </c>
      <c r="L18" s="45">
        <f t="shared" si="2"/>
        <v>0</v>
      </c>
    </row>
    <row r="19" spans="4:16" x14ac:dyDescent="0.3">
      <c r="D19" t="s">
        <v>418</v>
      </c>
      <c r="E19" s="40">
        <v>5</v>
      </c>
      <c r="F19" t="s">
        <v>425</v>
      </c>
      <c r="I19" s="46" t="s">
        <v>349</v>
      </c>
      <c r="J19" s="45">
        <v>0</v>
      </c>
      <c r="K19" s="45">
        <v>0</v>
      </c>
      <c r="L19" s="45">
        <f t="shared" si="2"/>
        <v>0</v>
      </c>
    </row>
    <row r="20" spans="4:16" x14ac:dyDescent="0.3">
      <c r="D20" t="s">
        <v>419</v>
      </c>
      <c r="E20" s="40">
        <v>6</v>
      </c>
      <c r="F20" t="s">
        <v>427</v>
      </c>
      <c r="I20" s="46" t="s">
        <v>350</v>
      </c>
      <c r="J20" s="45">
        <v>0</v>
      </c>
      <c r="K20" s="45">
        <v>0</v>
      </c>
      <c r="L20" s="45">
        <f t="shared" si="2"/>
        <v>0</v>
      </c>
    </row>
    <row r="21" spans="4:16" x14ac:dyDescent="0.3">
      <c r="D21" t="s">
        <v>420</v>
      </c>
      <c r="E21" s="40">
        <v>7</v>
      </c>
      <c r="F21" t="s">
        <v>426</v>
      </c>
      <c r="I21" s="46" t="s">
        <v>351</v>
      </c>
      <c r="J21" s="45">
        <v>0</v>
      </c>
      <c r="K21" s="45">
        <v>0</v>
      </c>
      <c r="L21" s="45">
        <f t="shared" si="2"/>
        <v>0</v>
      </c>
    </row>
    <row r="22" spans="4:16" x14ac:dyDescent="0.3">
      <c r="D22" t="s">
        <v>421</v>
      </c>
      <c r="E22" s="40">
        <v>8</v>
      </c>
      <c r="I22" s="46" t="s">
        <v>352</v>
      </c>
      <c r="J22" s="45">
        <v>0</v>
      </c>
      <c r="K22" s="45">
        <v>0</v>
      </c>
      <c r="L22" s="45">
        <f t="shared" si="2"/>
        <v>0</v>
      </c>
    </row>
    <row r="23" spans="4:16" x14ac:dyDescent="0.3">
      <c r="D23" t="s">
        <v>430</v>
      </c>
      <c r="E23" s="40">
        <v>9</v>
      </c>
    </row>
    <row r="24" spans="4:16" x14ac:dyDescent="0.3">
      <c r="D24" t="s">
        <v>423</v>
      </c>
      <c r="E24" s="43" t="s">
        <v>424</v>
      </c>
      <c r="I24" s="2" t="s">
        <v>370</v>
      </c>
    </row>
    <row r="25" spans="4:16" x14ac:dyDescent="0.3">
      <c r="I25" s="33" t="s">
        <v>225</v>
      </c>
      <c r="J25" s="33" t="s">
        <v>14</v>
      </c>
      <c r="K25" s="38" t="s">
        <v>36</v>
      </c>
      <c r="L25" s="38" t="s">
        <v>229</v>
      </c>
      <c r="M25" s="38" t="s">
        <v>88</v>
      </c>
      <c r="N25" s="38" t="s">
        <v>224</v>
      </c>
      <c r="O25" s="38" t="s">
        <v>362</v>
      </c>
      <c r="P25" s="39" t="s">
        <v>341</v>
      </c>
    </row>
    <row r="26" spans="4:16" x14ac:dyDescent="0.3">
      <c r="H26" t="s">
        <v>87</v>
      </c>
      <c r="I26" s="46" t="s">
        <v>361</v>
      </c>
      <c r="J26" s="45">
        <v>20</v>
      </c>
      <c r="K26" s="45">
        <v>0</v>
      </c>
      <c r="L26" s="45">
        <v>1.5</v>
      </c>
      <c r="M26" s="34">
        <v>1</v>
      </c>
      <c r="N26" s="45">
        <v>5</v>
      </c>
      <c r="O26" s="45">
        <f>N26 * J26*3900*(1.6)^(K26)*M26/L26</f>
        <v>260000</v>
      </c>
      <c r="P26">
        <f>SUM(O26:O26)</f>
        <v>260000</v>
      </c>
    </row>
    <row r="27" spans="4:16" x14ac:dyDescent="0.3">
      <c r="H27" s="1" t="s">
        <v>364</v>
      </c>
      <c r="I27" s="46" t="s">
        <v>365</v>
      </c>
      <c r="J27" s="45">
        <v>0</v>
      </c>
      <c r="K27" s="45">
        <v>0</v>
      </c>
      <c r="L27" s="45">
        <v>1</v>
      </c>
      <c r="M27" s="34">
        <v>1</v>
      </c>
      <c r="N27" s="45">
        <v>0</v>
      </c>
      <c r="O27" s="45">
        <f t="shared" ref="O27:O29" si="3">N27 * J27*3900*(1.6)^(K27)*M27/L27</f>
        <v>0</v>
      </c>
      <c r="P27" s="40">
        <f>SUM(O27:O32)</f>
        <v>0</v>
      </c>
    </row>
    <row r="28" spans="4:16" x14ac:dyDescent="0.3">
      <c r="I28" s="46" t="s">
        <v>366</v>
      </c>
      <c r="J28" s="45">
        <v>0</v>
      </c>
      <c r="K28" s="45">
        <v>0</v>
      </c>
      <c r="L28" s="45">
        <v>1</v>
      </c>
      <c r="M28" s="34">
        <v>1</v>
      </c>
      <c r="N28" s="45">
        <v>0</v>
      </c>
      <c r="O28" s="45">
        <f t="shared" si="3"/>
        <v>0</v>
      </c>
    </row>
    <row r="29" spans="4:16" x14ac:dyDescent="0.3">
      <c r="I29" s="46" t="s">
        <v>367</v>
      </c>
      <c r="J29" s="45">
        <v>0</v>
      </c>
      <c r="K29" s="45">
        <v>0</v>
      </c>
      <c r="L29" s="45">
        <v>1</v>
      </c>
      <c r="M29" s="34">
        <v>1</v>
      </c>
      <c r="N29" s="45">
        <v>0</v>
      </c>
      <c r="O29" s="45">
        <f t="shared" si="3"/>
        <v>0</v>
      </c>
    </row>
    <row r="30" spans="4:16" x14ac:dyDescent="0.3">
      <c r="I30" s="46" t="s">
        <v>368</v>
      </c>
      <c r="J30" s="45">
        <v>0</v>
      </c>
      <c r="K30" s="45">
        <v>0</v>
      </c>
      <c r="L30" s="45">
        <v>1</v>
      </c>
      <c r="M30" s="34">
        <v>1</v>
      </c>
      <c r="N30" s="45">
        <v>0</v>
      </c>
      <c r="O30" s="45">
        <f t="shared" ref="O30:O31" si="4">N30 * J30*3900*(1.6)^(K30)*M30/L30</f>
        <v>0</v>
      </c>
    </row>
    <row r="31" spans="4:16" x14ac:dyDescent="0.3">
      <c r="I31" s="46" t="s">
        <v>369</v>
      </c>
      <c r="J31" s="45">
        <v>0</v>
      </c>
      <c r="K31" s="45">
        <v>0</v>
      </c>
      <c r="L31" s="45">
        <v>1</v>
      </c>
      <c r="M31" s="34">
        <v>1</v>
      </c>
      <c r="N31" s="45">
        <v>0</v>
      </c>
      <c r="O31" s="45">
        <f t="shared" si="4"/>
        <v>0</v>
      </c>
    </row>
    <row r="32" spans="4:16" x14ac:dyDescent="0.3">
      <c r="I32" s="46" t="s">
        <v>429</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A1:V33"/>
  <sheetViews>
    <sheetView workbookViewId="0">
      <selection activeCell="I8" sqref="I8"/>
    </sheetView>
  </sheetViews>
  <sheetFormatPr defaultRowHeight="14" x14ac:dyDescent="0.3"/>
  <cols>
    <col min="1" max="1" width="5.83203125" customWidth="1"/>
    <col min="2" max="2" width="9.75" customWidth="1"/>
    <col min="4" max="4" width="8.5" customWidth="1"/>
    <col min="5" max="5" width="7.9140625" customWidth="1"/>
    <col min="6" max="6" width="8.25" customWidth="1"/>
    <col min="7" max="7" width="8.08203125" customWidth="1"/>
    <col min="8" max="8" width="8.58203125" customWidth="1"/>
    <col min="9" max="9" width="8.5" customWidth="1"/>
    <col min="10" max="10" width="13.08203125" customWidth="1"/>
    <col min="11" max="11" width="11.6640625" customWidth="1"/>
    <col min="12" max="12" width="6.58203125" customWidth="1"/>
    <col min="13" max="13" width="12" customWidth="1"/>
    <col min="14" max="14" width="11.5" customWidth="1"/>
    <col min="17" max="17" width="10.6640625" customWidth="1"/>
    <col min="18" max="18" width="9.9140625" customWidth="1"/>
    <col min="21" max="21" width="10" customWidth="1"/>
  </cols>
  <sheetData>
    <row r="1" spans="1:22" x14ac:dyDescent="0.3">
      <c r="M1" t="s">
        <v>481</v>
      </c>
    </row>
    <row r="2" spans="1:22" x14ac:dyDescent="0.3">
      <c r="C2" s="33" t="s">
        <v>238</v>
      </c>
      <c r="D2" s="33" t="s">
        <v>434</v>
      </c>
      <c r="E2" s="33" t="s">
        <v>478</v>
      </c>
      <c r="F2" s="33" t="s">
        <v>458</v>
      </c>
      <c r="G2" s="33" t="s">
        <v>459</v>
      </c>
      <c r="H2" s="33" t="s">
        <v>461</v>
      </c>
      <c r="I2" s="33" t="s">
        <v>457</v>
      </c>
      <c r="J2" s="33" t="s">
        <v>460</v>
      </c>
      <c r="K2" s="33" t="s">
        <v>456</v>
      </c>
      <c r="M2" s="35" t="s">
        <v>466</v>
      </c>
      <c r="N2" s="35" t="s">
        <v>465</v>
      </c>
      <c r="O2" s="35" t="s">
        <v>467</v>
      </c>
      <c r="P2" s="35" t="s">
        <v>464</v>
      </c>
      <c r="Q2" s="35" t="s">
        <v>469</v>
      </c>
      <c r="R2" s="35" t="s">
        <v>468</v>
      </c>
      <c r="S2" s="35" t="s">
        <v>470</v>
      </c>
      <c r="T2" s="35" t="s">
        <v>471</v>
      </c>
      <c r="U2" s="35" t="s">
        <v>82</v>
      </c>
      <c r="V2" s="35" t="s">
        <v>480</v>
      </c>
    </row>
    <row r="3" spans="1:22" x14ac:dyDescent="0.3">
      <c r="B3" t="s">
        <v>482</v>
      </c>
      <c r="C3" s="34">
        <v>1</v>
      </c>
      <c r="D3" s="27">
        <v>1.5</v>
      </c>
      <c r="E3" s="27">
        <v>0.8</v>
      </c>
      <c r="F3" s="27">
        <v>3</v>
      </c>
      <c r="G3" s="27">
        <v>1</v>
      </c>
      <c r="H3" s="27">
        <v>1</v>
      </c>
      <c r="I3" s="27">
        <v>1</v>
      </c>
      <c r="J3" s="27">
        <v>0.8</v>
      </c>
      <c r="K3" s="27">
        <v>1.3</v>
      </c>
      <c r="M3" s="49">
        <f>5+C3*D3*9*1.25^(1-E3)*J3/(G3*SQRT(H3)*1.2^(F3-3)*1.1^(I3-2)*SQRT(E3))</f>
        <v>18.888439450165926</v>
      </c>
      <c r="N3" s="49">
        <f>40+(50+C3*D3*23)*SQRT(E3)*1.25^(1-E3)*J3/(G3*SQRT(H3)*1.2^(F3-3)*1.1^(I3-2))</f>
        <v>109.54507458009012</v>
      </c>
      <c r="O3" s="49">
        <f t="shared" ref="O3:O6" si="0">MAX(200*(D3-2)+C3*D3*293*1.3^(1-E3)/(1.2^(I3-2)*SQRT(E3)*J3*SQRT(K3)),50)</f>
        <v>581.27450879982621</v>
      </c>
      <c r="P3" s="49">
        <f>MAX(180*(D3-2)+C3*D3*900*SQRT(E3)*1.3^(1-E3)/(1.2^(I3-2)*J3*SQRT(K3)),100)</f>
        <v>1584.1216598494022</v>
      </c>
      <c r="Q3" s="49">
        <f>30/SQRT(E3)+(50+C3*D3)*K3/(J3*SQRT(E3))+30*(K3-1)</f>
        <v>136.10648909600368</v>
      </c>
      <c r="R3" s="49">
        <f>210+(190+C3*D3)*K3*SQRT(E3)/(J3*1.1^(I3-2))</f>
        <v>516.16801764921502</v>
      </c>
      <c r="S3" s="49">
        <f>C3^1.15*D3^1.2*12*1.25^(1-E3)/(SQRT(E3))*IF(D3&gt;17,1.2^(D3-15),1)</f>
        <v>22.820637166202172</v>
      </c>
      <c r="T3" s="49">
        <f>95+C3^1*D3^1.58*33*1.25^(1-E3)*SQRT(E3)/1+IF(C3&gt;=6,C3*200,0)</f>
        <v>153.56863807482276</v>
      </c>
      <c r="U3" s="49">
        <f>_xlfn.FLOOR.MATH(2*C3^1.3*D3^1.3+IF(D3&gt;2,D3*10,0)+IF(D3&gt;8,C3^0.5*D3^0.7)+IF(D3&gt;16,C3^1.2*(D3-15)^2.5,0))*500</f>
        <v>1500</v>
      </c>
      <c r="V3" s="49">
        <f>_xlfn.FLOOR.MATH(U3/700)*20</f>
        <v>40</v>
      </c>
    </row>
    <row r="4" spans="1:22" x14ac:dyDescent="0.3">
      <c r="B4" t="s">
        <v>484</v>
      </c>
      <c r="C4" s="34">
        <v>1</v>
      </c>
      <c r="D4" s="27">
        <v>13</v>
      </c>
      <c r="E4" s="27">
        <v>0.8</v>
      </c>
      <c r="F4" s="27">
        <v>2</v>
      </c>
      <c r="G4" s="27">
        <v>1.7</v>
      </c>
      <c r="H4" s="27">
        <v>2</v>
      </c>
      <c r="I4" s="27">
        <v>1</v>
      </c>
      <c r="J4" s="27">
        <v>1.1000000000000001</v>
      </c>
      <c r="K4" s="27">
        <v>2.9</v>
      </c>
      <c r="M4" s="49">
        <f t="shared" ref="M4:M8" si="1">5+C4*D4*9*1.25^(1-E4)*J4/(G4*SQRT(H4)*1.2^(F4-3)*1.1^(I4-2)*SQRT(E4))</f>
        <v>87.608658193499167</v>
      </c>
      <c r="N4" s="49">
        <f t="shared" ref="N4:N7" si="2">40+(50+C4*D4*23)*SQRT(E4)*1.25^(1-E4)*J4/(G4*SQRT(H4)*1.2^(F4-3)*1.1^(I4-2))</f>
        <v>237.13108861217921</v>
      </c>
      <c r="O4" s="49">
        <f t="shared" si="0"/>
        <v>5075.0421198956528</v>
      </c>
      <c r="P4" s="49">
        <f t="shared" ref="P4:P7" si="3">MAX(180*(D4-2)+C4*D4*900*SQRT(E4)*1.3^(1-E4)/(1.2^(I4-2)*J4*SQRT(K4)),100)</f>
        <v>9044.9499191975083</v>
      </c>
      <c r="Q4" s="49">
        <f t="shared" ref="Q4:Q7" si="4">30/SQRT(E4)+(50+C4*D4)*K4/(J4*SQRT(E4))+30*(K4-1)</f>
        <v>276.23630124850206</v>
      </c>
      <c r="R4" s="49">
        <f t="shared" ref="R4:R8" si="5">210+(190+C4*D4)*K4*SQRT(E4)/(J4*1.1^(I4-2))</f>
        <v>736.54928734165037</v>
      </c>
      <c r="S4" s="49">
        <f t="shared" ref="S4:S8" si="6">C4^1.15*D4^1.2*12*1.25^(1-E4)/(SQRT(E4))*IF(D4&gt;17,1.2^(D4-15),1)</f>
        <v>304.61429344689395</v>
      </c>
      <c r="T4" s="49">
        <f t="shared" ref="T4:T8" si="7">95+C4^1*D4^1.58*33*1.25^(1-E4)*SQRT(E4)/1+IF(C4&gt;=6,C4*200,0)</f>
        <v>1871.1164335978647</v>
      </c>
      <c r="U4" s="49">
        <f t="shared" ref="U4:U8" si="8">_xlfn.FLOOR.MATH(2*C4^1.3*D4^1.3+IF(D4&gt;2,D4*10,0)+IF(D4&gt;8,C4^0.5*D4^0.7)+IF(D4&gt;16,C4^1.2*(D4-15)^2.5,0))*500</f>
        <v>96000</v>
      </c>
      <c r="V4" s="49">
        <f t="shared" ref="V4:V8" si="9">_xlfn.FLOOR.MATH(U4/700)*20</f>
        <v>2740</v>
      </c>
    </row>
    <row r="5" spans="1:22" x14ac:dyDescent="0.3">
      <c r="B5" t="s">
        <v>485</v>
      </c>
      <c r="C5" s="34">
        <v>3</v>
      </c>
      <c r="D5" s="27">
        <v>13</v>
      </c>
      <c r="E5" s="27">
        <v>1.3</v>
      </c>
      <c r="F5" s="27">
        <v>4</v>
      </c>
      <c r="G5" s="27">
        <v>1.5</v>
      </c>
      <c r="H5" s="27">
        <v>3</v>
      </c>
      <c r="I5" s="27">
        <v>3</v>
      </c>
      <c r="J5" s="27">
        <v>0.9</v>
      </c>
      <c r="K5" s="27">
        <v>2</v>
      </c>
      <c r="M5" s="49">
        <f t="shared" si="1"/>
        <v>80.557769388855888</v>
      </c>
      <c r="N5" s="49">
        <f t="shared" si="2"/>
        <v>305.01188004165385</v>
      </c>
      <c r="O5" s="49">
        <f t="shared" si="0"/>
        <v>8265.1115410970779</v>
      </c>
      <c r="P5" s="49">
        <f t="shared" si="3"/>
        <v>26199.046085609491</v>
      </c>
      <c r="Q5" s="49">
        <f t="shared" si="4"/>
        <v>229.77432661993439</v>
      </c>
      <c r="R5" s="49">
        <f t="shared" si="5"/>
        <v>737.47509565192433</v>
      </c>
      <c r="S5" s="49">
        <f t="shared" si="6"/>
        <v>756.06308092998961</v>
      </c>
      <c r="T5" s="49">
        <f t="shared" si="7"/>
        <v>6170.2529291090304</v>
      </c>
      <c r="U5" s="49">
        <f t="shared" si="8"/>
        <v>187000</v>
      </c>
      <c r="V5" s="49">
        <f t="shared" si="9"/>
        <v>5340</v>
      </c>
    </row>
    <row r="6" spans="1:22" x14ac:dyDescent="0.3">
      <c r="B6" t="s">
        <v>488</v>
      </c>
      <c r="C6" s="34">
        <v>4</v>
      </c>
      <c r="D6" s="27">
        <v>4</v>
      </c>
      <c r="E6" s="27">
        <v>1.2</v>
      </c>
      <c r="F6" s="27">
        <v>3</v>
      </c>
      <c r="G6" s="27">
        <v>1</v>
      </c>
      <c r="H6" s="27">
        <v>3</v>
      </c>
      <c r="I6" s="27">
        <v>2</v>
      </c>
      <c r="J6" s="27">
        <v>2.2999999999999998</v>
      </c>
      <c r="K6" s="27">
        <v>1.8</v>
      </c>
      <c r="M6" s="49">
        <f t="shared" si="1"/>
        <v>171.9387184223385</v>
      </c>
      <c r="N6" s="49">
        <f t="shared" si="2"/>
        <v>621.50320250447896</v>
      </c>
      <c r="O6" s="49">
        <f t="shared" si="0"/>
        <v>1715.9646431015246</v>
      </c>
      <c r="P6" s="49">
        <f t="shared" si="3"/>
        <v>5210.6546571660292</v>
      </c>
      <c r="Q6" s="49">
        <f t="shared" si="4"/>
        <v>98.537895869181312</v>
      </c>
      <c r="R6" s="49">
        <f t="shared" si="5"/>
        <v>386.60480375905706</v>
      </c>
      <c r="S6" s="49">
        <f t="shared" si="6"/>
        <v>272.30122809761059</v>
      </c>
      <c r="T6" s="49">
        <f t="shared" si="7"/>
        <v>1331.0536970509388</v>
      </c>
      <c r="U6" s="49">
        <f t="shared" si="8"/>
        <v>56500</v>
      </c>
      <c r="V6" s="49">
        <f t="shared" si="9"/>
        <v>1600</v>
      </c>
    </row>
    <row r="7" spans="1:22" x14ac:dyDescent="0.3">
      <c r="B7" t="s">
        <v>483</v>
      </c>
      <c r="C7" s="34">
        <v>5</v>
      </c>
      <c r="D7" s="27">
        <v>20</v>
      </c>
      <c r="E7" s="27">
        <v>1.5</v>
      </c>
      <c r="F7" s="27">
        <v>4</v>
      </c>
      <c r="G7" s="27">
        <v>1.2</v>
      </c>
      <c r="H7" s="27">
        <v>10</v>
      </c>
      <c r="I7" s="27">
        <v>3</v>
      </c>
      <c r="J7" s="27">
        <v>1</v>
      </c>
      <c r="K7" s="27">
        <v>2</v>
      </c>
      <c r="M7" s="49">
        <f t="shared" si="1"/>
        <v>136.21597027036952</v>
      </c>
      <c r="N7" s="49">
        <f t="shared" si="2"/>
        <v>553.92921689228058</v>
      </c>
      <c r="O7" s="49">
        <f>MAX(200*(D7-2)+C7*D7*293*1.3^(1-E7)/(1.2^(I7-2)*SQRT(E7)*J7*SQRT(K7)),50)</f>
        <v>15963.859773146431</v>
      </c>
      <c r="P7" s="49">
        <f t="shared" si="3"/>
        <v>60206.58939845625</v>
      </c>
      <c r="Q7" s="49">
        <f t="shared" si="4"/>
        <v>299.44387170614959</v>
      </c>
      <c r="R7" s="49">
        <f t="shared" si="5"/>
        <v>855.77456855192861</v>
      </c>
      <c r="S7" s="49">
        <f t="shared" si="6"/>
        <v>5054.0361041989854</v>
      </c>
      <c r="T7" s="49">
        <f t="shared" si="7"/>
        <v>20639.802012802509</v>
      </c>
      <c r="U7" s="49">
        <f t="shared" si="8"/>
        <v>700000</v>
      </c>
      <c r="V7" s="49">
        <f t="shared" si="9"/>
        <v>20000</v>
      </c>
    </row>
    <row r="8" spans="1:22" x14ac:dyDescent="0.3">
      <c r="B8" s="1" t="s">
        <v>474</v>
      </c>
      <c r="C8" s="36">
        <v>1</v>
      </c>
      <c r="D8" s="37">
        <v>1</v>
      </c>
      <c r="E8" s="37">
        <v>1</v>
      </c>
      <c r="F8" s="37">
        <v>3</v>
      </c>
      <c r="G8" s="37">
        <v>2</v>
      </c>
      <c r="H8" s="37">
        <v>3</v>
      </c>
      <c r="I8" s="37">
        <v>2</v>
      </c>
      <c r="J8" s="37">
        <v>1</v>
      </c>
      <c r="K8" s="37">
        <v>1</v>
      </c>
      <c r="M8" s="48">
        <f t="shared" si="1"/>
        <v>7.598076211353316</v>
      </c>
      <c r="N8" s="48">
        <f>40+(50+C8*D8*23)*SQRT(E8)*1.25^(1-E8)*J8/(G8*SQRT(H8)*1.2^(F8-3)*1.1^(I8-2))</f>
        <v>61.073284825421339</v>
      </c>
      <c r="O8" s="48">
        <f>MAX(200*(D8-2)+C8*D8*293*1.3^(1-E8)/(1.2^(I8-2)*SQRT(E8)*J8*SQRT(K8)),50)</f>
        <v>93</v>
      </c>
      <c r="P8" s="48">
        <f>MAX(180*(D8-2)+C8*D8*900*SQRT(E8)*1.3^(1-E8)/(1.2^(I8-2)*J8*SQRT(K8)),100)</f>
        <v>720</v>
      </c>
      <c r="Q8" s="48">
        <f>30/SQRT(E8)+(50+C8*D8)*K8/(J8*SQRT(E8))+30*(K8-1)</f>
        <v>81</v>
      </c>
      <c r="R8" s="48">
        <f t="shared" si="5"/>
        <v>401</v>
      </c>
      <c r="S8" s="48">
        <f t="shared" si="6"/>
        <v>12</v>
      </c>
      <c r="T8" s="48">
        <f t="shared" si="7"/>
        <v>128</v>
      </c>
      <c r="U8" s="48">
        <f t="shared" si="8"/>
        <v>1000</v>
      </c>
      <c r="V8" s="48">
        <f t="shared" si="9"/>
        <v>20</v>
      </c>
    </row>
    <row r="10" spans="1:22" x14ac:dyDescent="0.3">
      <c r="A10" s="2" t="s">
        <v>487</v>
      </c>
      <c r="C10" s="24" t="s">
        <v>236</v>
      </c>
      <c r="D10" s="2" t="s">
        <v>486</v>
      </c>
    </row>
    <row r="11" spans="1:22" x14ac:dyDescent="0.3">
      <c r="A11" s="6" t="s">
        <v>150</v>
      </c>
      <c r="B11" s="6"/>
      <c r="C11" s="24"/>
      <c r="D11" s="2" t="s">
        <v>479</v>
      </c>
    </row>
    <row r="12" spans="1:22" x14ac:dyDescent="0.3">
      <c r="A12" s="15" t="s">
        <v>149</v>
      </c>
      <c r="B12" s="15"/>
      <c r="D12" s="2" t="s">
        <v>495</v>
      </c>
    </row>
    <row r="13" spans="1:22" x14ac:dyDescent="0.3">
      <c r="D13" s="2" t="s">
        <v>494</v>
      </c>
    </row>
    <row r="14" spans="1:22" x14ac:dyDescent="0.3">
      <c r="D14" s="2" t="s">
        <v>472</v>
      </c>
    </row>
    <row r="15" spans="1:22" x14ac:dyDescent="0.3">
      <c r="D15" s="2" t="s">
        <v>462</v>
      </c>
    </row>
    <row r="16" spans="1:22" x14ac:dyDescent="0.3">
      <c r="D16" s="2" t="s">
        <v>493</v>
      </c>
    </row>
    <row r="17" spans="2:10" x14ac:dyDescent="0.3">
      <c r="D17" s="2" t="s">
        <v>463</v>
      </c>
    </row>
    <row r="18" spans="2:10" x14ac:dyDescent="0.3">
      <c r="D18" s="2"/>
    </row>
    <row r="19" spans="2:10" x14ac:dyDescent="0.3">
      <c r="B19" s="2" t="s">
        <v>238</v>
      </c>
      <c r="H19" s="2" t="s">
        <v>434</v>
      </c>
    </row>
    <row r="20" spans="2:10" x14ac:dyDescent="0.3">
      <c r="B20" s="33" t="s">
        <v>412</v>
      </c>
      <c r="C20" s="35" t="s">
        <v>413</v>
      </c>
      <c r="D20" s="33" t="s">
        <v>416</v>
      </c>
      <c r="H20" s="33" t="s">
        <v>435</v>
      </c>
      <c r="I20" s="35" t="s">
        <v>413</v>
      </c>
      <c r="J20" s="33" t="s">
        <v>446</v>
      </c>
    </row>
    <row r="21" spans="2:10" x14ac:dyDescent="0.3">
      <c r="B21" t="s">
        <v>411</v>
      </c>
      <c r="C21" s="40">
        <v>1</v>
      </c>
      <c r="H21" t="s">
        <v>436</v>
      </c>
      <c r="I21" s="40">
        <v>1</v>
      </c>
      <c r="J21" t="s">
        <v>448</v>
      </c>
    </row>
    <row r="22" spans="2:10" x14ac:dyDescent="0.3">
      <c r="B22" t="s">
        <v>414</v>
      </c>
      <c r="C22" s="40">
        <v>2</v>
      </c>
      <c r="H22" t="s">
        <v>437</v>
      </c>
      <c r="I22" s="40">
        <v>1.5</v>
      </c>
      <c r="J22" t="s">
        <v>475</v>
      </c>
    </row>
    <row r="23" spans="2:10" x14ac:dyDescent="0.3">
      <c r="B23" t="s">
        <v>415</v>
      </c>
      <c r="C23" s="40">
        <v>3</v>
      </c>
      <c r="H23" t="s">
        <v>438</v>
      </c>
      <c r="I23" s="40">
        <v>2</v>
      </c>
      <c r="J23" t="s">
        <v>449</v>
      </c>
    </row>
    <row r="24" spans="2:10" x14ac:dyDescent="0.3">
      <c r="B24" t="s">
        <v>417</v>
      </c>
      <c r="C24" s="40">
        <v>4</v>
      </c>
      <c r="D24" t="s">
        <v>428</v>
      </c>
      <c r="H24" t="s">
        <v>439</v>
      </c>
      <c r="I24" s="44" t="s">
        <v>490</v>
      </c>
      <c r="J24" t="s">
        <v>489</v>
      </c>
    </row>
    <row r="25" spans="2:10" x14ac:dyDescent="0.3">
      <c r="B25" t="s">
        <v>418</v>
      </c>
      <c r="C25" s="40">
        <v>5</v>
      </c>
      <c r="D25" t="s">
        <v>425</v>
      </c>
      <c r="H25" t="s">
        <v>440</v>
      </c>
      <c r="I25" s="44" t="s">
        <v>491</v>
      </c>
      <c r="J25" t="s">
        <v>450</v>
      </c>
    </row>
    <row r="26" spans="2:10" x14ac:dyDescent="0.3">
      <c r="B26" t="s">
        <v>419</v>
      </c>
      <c r="C26" s="40">
        <v>6</v>
      </c>
      <c r="D26" t="s">
        <v>427</v>
      </c>
      <c r="H26" t="s">
        <v>441</v>
      </c>
      <c r="I26" s="44" t="s">
        <v>492</v>
      </c>
      <c r="J26" t="s">
        <v>451</v>
      </c>
    </row>
    <row r="27" spans="2:10" x14ac:dyDescent="0.3">
      <c r="B27" t="s">
        <v>420</v>
      </c>
      <c r="C27" s="40">
        <v>7</v>
      </c>
      <c r="D27" t="s">
        <v>426</v>
      </c>
      <c r="H27" t="s">
        <v>442</v>
      </c>
      <c r="I27" s="40">
        <v>9</v>
      </c>
      <c r="J27" t="s">
        <v>454</v>
      </c>
    </row>
    <row r="28" spans="2:10" x14ac:dyDescent="0.3">
      <c r="B28" t="s">
        <v>421</v>
      </c>
      <c r="C28" s="40">
        <v>8</v>
      </c>
      <c r="H28" t="s">
        <v>443</v>
      </c>
      <c r="I28" s="40">
        <v>13</v>
      </c>
      <c r="J28" t="s">
        <v>455</v>
      </c>
    </row>
    <row r="29" spans="2:10" x14ac:dyDescent="0.3">
      <c r="B29" t="s">
        <v>422</v>
      </c>
      <c r="C29" s="40">
        <v>9</v>
      </c>
      <c r="H29" t="s">
        <v>444</v>
      </c>
      <c r="I29" s="40">
        <v>16</v>
      </c>
      <c r="J29" t="s">
        <v>473</v>
      </c>
    </row>
    <row r="30" spans="2:10" x14ac:dyDescent="0.3">
      <c r="B30" t="s">
        <v>423</v>
      </c>
      <c r="C30" s="44" t="s">
        <v>424</v>
      </c>
      <c r="H30" t="s">
        <v>445</v>
      </c>
      <c r="I30" s="40">
        <v>20</v>
      </c>
      <c r="J30" t="s">
        <v>453</v>
      </c>
    </row>
    <row r="32" spans="2:10" x14ac:dyDescent="0.3">
      <c r="B32" t="s">
        <v>476</v>
      </c>
      <c r="C32" s="47" t="s">
        <v>477</v>
      </c>
      <c r="D32" s="44"/>
      <c r="H32" s="24" t="s">
        <v>236</v>
      </c>
      <c r="I32" s="2" t="s">
        <v>452</v>
      </c>
    </row>
    <row r="33" spans="9:9" x14ac:dyDescent="0.3">
      <c r="I33" s="2" t="s">
        <v>447</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H34" sqref="H34"/>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82" workbookViewId="0">
      <selection activeCell="A109" sqref="A109"/>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3">
      <c r="B110">
        <v>30</v>
      </c>
      <c r="C110">
        <v>265.61398339158382</v>
      </c>
      <c r="D110">
        <v>360.61398339158387</v>
      </c>
      <c r="E110">
        <v>60</v>
      </c>
      <c r="F110">
        <f t="shared" ref="F110:F112" si="26">C110+((D110-C110)/(E110-1))*B110</f>
        <v>313.91906813734658</v>
      </c>
      <c r="M110">
        <f>L106/L109</f>
        <v>0.24842767295597482</v>
      </c>
    </row>
    <row r="111" spans="2:32" x14ac:dyDescent="0.3">
      <c r="B111">
        <v>30</v>
      </c>
      <c r="C111">
        <v>189.28191492822722</v>
      </c>
      <c r="D111">
        <v>468.56382985645445</v>
      </c>
      <c r="E111">
        <v>60</v>
      </c>
      <c r="F111">
        <f t="shared" si="26"/>
        <v>331.28966828156308</v>
      </c>
      <c r="M111">
        <f>L109/L106</f>
        <v>4.0253164556962027</v>
      </c>
    </row>
    <row r="112" spans="2:32" x14ac:dyDescent="0.3">
      <c r="B112">
        <v>30</v>
      </c>
      <c r="C112">
        <v>135.30699169579191</v>
      </c>
      <c r="D112">
        <v>621.22796678316774</v>
      </c>
      <c r="E112">
        <v>60</v>
      </c>
      <c r="F112">
        <f t="shared" si="26"/>
        <v>382.38545360462706</v>
      </c>
    </row>
    <row r="114" spans="6:7" x14ac:dyDescent="0.3">
      <c r="F114" t="s">
        <v>261</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topLeftCell="A4" workbookViewId="0">
      <selection activeCell="E30" sqref="E30"/>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23650</v>
      </c>
      <c r="D29">
        <v>530</v>
      </c>
      <c r="E29">
        <v>0</v>
      </c>
      <c r="F29">
        <f>D29*(1-E29)</f>
        <v>530</v>
      </c>
      <c r="G29">
        <f>1-(1-(F29/(F29+300)))</f>
        <v>0.63855421686746983</v>
      </c>
      <c r="H29">
        <f>(1-(F29/(F29+300)))</f>
        <v>0.36144578313253017</v>
      </c>
      <c r="J29">
        <v>80000</v>
      </c>
      <c r="K29">
        <f>J29/H29</f>
        <v>221333.33333333331</v>
      </c>
      <c r="M29">
        <f>C29*(1-(F29/(F29+300)))</f>
        <v>8548.1927710843393</v>
      </c>
      <c r="N29">
        <f>M28-M29</f>
        <v>-8104.8430173897586</v>
      </c>
      <c r="O29">
        <f t="shared" si="4"/>
        <v>9.3587033121916843</v>
      </c>
      <c r="S29">
        <f>1300/18000</f>
        <v>7.2222222222222215E-2</v>
      </c>
    </row>
    <row r="30" spans="3:19" x14ac:dyDescent="0.3">
      <c r="S30">
        <f>18000/30</f>
        <v>600</v>
      </c>
    </row>
    <row r="31" spans="3:19" x14ac:dyDescent="0.3">
      <c r="C31">
        <f>25000+3.5*D31*0.9</f>
        <v>30670</v>
      </c>
      <c r="D31">
        <v>1800</v>
      </c>
      <c r="E31">
        <v>0</v>
      </c>
      <c r="F31">
        <f>D31*(1-E31)</f>
        <v>1800</v>
      </c>
      <c r="G31">
        <f>1-(1-(F31/(F31+300)))</f>
        <v>0.8571428571428571</v>
      </c>
      <c r="H31">
        <f>(1-(F31/(F31+300)))</f>
        <v>0.1428571428571429</v>
      </c>
      <c r="J31">
        <v>40000</v>
      </c>
      <c r="K31">
        <f>J31/H31</f>
        <v>279999.99999999988</v>
      </c>
      <c r="M31">
        <f>C31*(1-(F31/(F31+300)))</f>
        <v>4381.4285714285725</v>
      </c>
      <c r="O31">
        <f t="shared" si="4"/>
        <v>9.1294424519073978</v>
      </c>
    </row>
    <row r="32" spans="3:19" x14ac:dyDescent="0.3">
      <c r="C32">
        <f>25000+3.5*D32*0.9</f>
        <v>25866.25</v>
      </c>
      <c r="D32">
        <v>275</v>
      </c>
      <c r="E32">
        <v>0</v>
      </c>
      <c r="F32">
        <f>D32*(1-E32)</f>
        <v>275</v>
      </c>
      <c r="G32">
        <f>1-(1-(F32/(F32+300)))</f>
        <v>0.47826086956521741</v>
      </c>
      <c r="H32">
        <f>(1-(F32/(F32+300)))</f>
        <v>0.52173913043478259</v>
      </c>
      <c r="J32">
        <v>180000</v>
      </c>
      <c r="K32">
        <f>J32/H32</f>
        <v>345000</v>
      </c>
      <c r="M32">
        <f>C32*(1-(F32/(F32+300)))</f>
        <v>13495.434782608696</v>
      </c>
      <c r="O32">
        <f t="shared" si="4"/>
        <v>13.337843715266033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O20" sqref="O20"/>
    </sheetView>
  </sheetViews>
  <sheetFormatPr defaultRowHeight="14" x14ac:dyDescent="0.3"/>
  <cols>
    <col min="9" max="9" width="8.25" customWidth="1"/>
    <col min="10" max="10" width="8" customWidth="1"/>
    <col min="11" max="11" width="9.914062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387</v>
      </c>
    </row>
    <row r="3" spans="2:22" x14ac:dyDescent="0.3">
      <c r="C3" t="s">
        <v>123</v>
      </c>
      <c r="D3" t="s">
        <v>124</v>
      </c>
      <c r="E3" t="s">
        <v>125</v>
      </c>
      <c r="J3" t="s">
        <v>388</v>
      </c>
      <c r="K3" t="s">
        <v>389</v>
      </c>
      <c r="L3" t="s">
        <v>390</v>
      </c>
      <c r="M3" t="s">
        <v>394</v>
      </c>
      <c r="N3" t="s">
        <v>395</v>
      </c>
      <c r="O3" t="s">
        <v>393</v>
      </c>
      <c r="P3" t="s">
        <v>396</v>
      </c>
      <c r="Q3" t="s">
        <v>391</v>
      </c>
      <c r="R3" t="s">
        <v>399</v>
      </c>
      <c r="S3" t="s">
        <v>400</v>
      </c>
      <c r="T3" t="s">
        <v>392</v>
      </c>
      <c r="U3" t="s">
        <v>397</v>
      </c>
      <c r="V3" t="s">
        <v>398</v>
      </c>
    </row>
    <row r="4" spans="2:22" x14ac:dyDescent="0.3">
      <c r="C4">
        <v>10</v>
      </c>
      <c r="D4">
        <f>C4*120</f>
        <v>1200</v>
      </c>
      <c r="J4">
        <v>1</v>
      </c>
      <c r="K4">
        <f xml:space="preserve"> (J4- 1) * (J4 - 1) * (J4 - 1) + 1</f>
        <v>1</v>
      </c>
      <c r="L4">
        <f>_xlfn.FLOOR.MATH(0.5*(J4-1)*(J4-1)*(J4-1)+1)</f>
        <v>1</v>
      </c>
      <c r="M4">
        <v>0</v>
      </c>
      <c r="N4">
        <v>0</v>
      </c>
      <c r="O4" s="41">
        <f>0.25*(1+(J4-1)^4.2/216)-1</f>
        <v>-0.75</v>
      </c>
      <c r="P4" s="41">
        <f>0.5*(1+(J4-1)^4.2/216)-0.7</f>
        <v>-0.19999999999999996</v>
      </c>
      <c r="Q4" s="41"/>
      <c r="R4">
        <f t="shared" ref="R4:R16" si="0">J4*200+600</f>
        <v>800</v>
      </c>
      <c r="S4">
        <f>M4*R4</f>
        <v>0</v>
      </c>
      <c r="T4" s="41"/>
    </row>
    <row r="5" spans="2:22" x14ac:dyDescent="0.3">
      <c r="D5">
        <f>C4*C4*10</f>
        <v>1000</v>
      </c>
      <c r="E5">
        <f>D5+100000/100</f>
        <v>2000</v>
      </c>
      <c r="J5">
        <v>2</v>
      </c>
      <c r="K5">
        <f t="shared" ref="K5:K15" si="1" xml:space="preserve"> (J5- 1) * (J5 - 1) * (J5 - 1) + 1</f>
        <v>2</v>
      </c>
      <c r="L5">
        <f t="shared" ref="L5:L15" si="2">_xlfn.FLOOR.MATH(0.5*(J5-1)*(J5-1)*(J5-1)+1)</f>
        <v>1</v>
      </c>
      <c r="M5">
        <f>SUM(K4:K4)</f>
        <v>1</v>
      </c>
      <c r="N5">
        <f>SUM(L4:L4)</f>
        <v>1</v>
      </c>
      <c r="O5" s="41">
        <f t="shared" ref="O5:O16" si="3">0.25*(1+(J5-1)^4.2/216)-1</f>
        <v>-0.74884259259259256</v>
      </c>
      <c r="P5" s="41">
        <f t="shared" ref="P5:P16" si="4">0.5*(1+(J5-1)^4.2/216)-0.7</f>
        <v>-0.19768518518518519</v>
      </c>
      <c r="Q5" s="41">
        <f t="shared" ref="Q5:Q16" si="5">O5/M5</f>
        <v>-0.74884259259259256</v>
      </c>
      <c r="R5">
        <f t="shared" si="0"/>
        <v>1000</v>
      </c>
      <c r="S5">
        <f t="shared" ref="S5:S16" si="6">M5*R5</f>
        <v>1000</v>
      </c>
      <c r="T5" s="41">
        <f>O5/N5</f>
        <v>-0.74884259259259256</v>
      </c>
      <c r="U5" s="41">
        <f>P5/M5</f>
        <v>-0.19768518518518519</v>
      </c>
      <c r="V5" s="41">
        <f>P5/N5</f>
        <v>-0.19768518518518519</v>
      </c>
    </row>
    <row r="6" spans="2:22" x14ac:dyDescent="0.3">
      <c r="J6">
        <v>3</v>
      </c>
      <c r="K6">
        <f t="shared" si="1"/>
        <v>9</v>
      </c>
      <c r="L6">
        <f t="shared" si="2"/>
        <v>5</v>
      </c>
      <c r="M6">
        <f>SUM(K4:K5)</f>
        <v>3</v>
      </c>
      <c r="N6">
        <f>SUM(L4:L5)</f>
        <v>2</v>
      </c>
      <c r="O6" s="41">
        <f t="shared" si="3"/>
        <v>-0.72872780824079564</v>
      </c>
      <c r="P6" s="41">
        <f t="shared" si="4"/>
        <v>-0.15745561648159123</v>
      </c>
      <c r="Q6" s="41">
        <f t="shared" si="5"/>
        <v>-0.24290926941359856</v>
      </c>
      <c r="R6">
        <f t="shared" si="0"/>
        <v>1200</v>
      </c>
      <c r="S6">
        <f t="shared" si="6"/>
        <v>3600</v>
      </c>
      <c r="T6" s="41">
        <f t="shared" ref="T6:T16" si="7">O6/N6</f>
        <v>-0.36436390412039782</v>
      </c>
      <c r="U6" s="41">
        <f t="shared" ref="U6:U16" si="8">P6/M6</f>
        <v>-5.2485205493863742E-2</v>
      </c>
      <c r="V6" s="41">
        <f t="shared" ref="V6:V15" si="9">P6/N6</f>
        <v>-7.8727808240795616E-2</v>
      </c>
    </row>
    <row r="7" spans="2:22" x14ac:dyDescent="0.3">
      <c r="J7">
        <v>4</v>
      </c>
      <c r="K7">
        <f t="shared" si="1"/>
        <v>28</v>
      </c>
      <c r="L7">
        <f t="shared" si="2"/>
        <v>14</v>
      </c>
      <c r="M7">
        <f>SUM(K4:K6)</f>
        <v>12</v>
      </c>
      <c r="N7">
        <f>SUM(L4:L6)</f>
        <v>7</v>
      </c>
      <c r="O7" s="41">
        <f t="shared" si="3"/>
        <v>-0.63321272441104515</v>
      </c>
      <c r="P7" s="41">
        <f t="shared" si="4"/>
        <v>3.3574551177909751E-2</v>
      </c>
      <c r="Q7" s="41">
        <f t="shared" si="5"/>
        <v>-5.276772703425376E-2</v>
      </c>
      <c r="R7">
        <f t="shared" si="0"/>
        <v>1400</v>
      </c>
      <c r="S7">
        <f t="shared" si="6"/>
        <v>16800</v>
      </c>
      <c r="T7" s="41">
        <f t="shared" si="7"/>
        <v>-9.0458960630149313E-2</v>
      </c>
      <c r="U7" s="41">
        <f t="shared" si="8"/>
        <v>2.7978792648258124E-3</v>
      </c>
      <c r="V7" s="41">
        <f t="shared" si="9"/>
        <v>4.7963644539871075E-3</v>
      </c>
    </row>
    <row r="8" spans="2:22" x14ac:dyDescent="0.3">
      <c r="B8" t="s">
        <v>127</v>
      </c>
      <c r="J8">
        <v>5</v>
      </c>
      <c r="K8">
        <f t="shared" si="1"/>
        <v>65</v>
      </c>
      <c r="L8">
        <f t="shared" si="2"/>
        <v>33</v>
      </c>
      <c r="M8">
        <f>SUM(K4:K7)</f>
        <v>40</v>
      </c>
      <c r="N8">
        <f>SUM(L4:L7)</f>
        <v>21</v>
      </c>
      <c r="O8" s="41">
        <f t="shared" si="3"/>
        <v>-0.35903469310432778</v>
      </c>
      <c r="P8" s="41">
        <f t="shared" si="4"/>
        <v>0.58193061379134448</v>
      </c>
      <c r="Q8" s="41">
        <f t="shared" si="5"/>
        <v>-8.9758673276081943E-3</v>
      </c>
      <c r="R8">
        <f t="shared" si="0"/>
        <v>1600</v>
      </c>
      <c r="S8">
        <f t="shared" si="6"/>
        <v>64000</v>
      </c>
      <c r="T8" s="41">
        <f t="shared" si="7"/>
        <v>-1.7096890147825134E-2</v>
      </c>
      <c r="U8" s="41">
        <f t="shared" si="8"/>
        <v>1.4548265344783613E-2</v>
      </c>
      <c r="V8" s="41">
        <f t="shared" si="9"/>
        <v>2.7710981609111642E-2</v>
      </c>
    </row>
    <row r="9" spans="2:22" x14ac:dyDescent="0.3">
      <c r="C9" t="s">
        <v>90</v>
      </c>
      <c r="D9" t="s">
        <v>128</v>
      </c>
      <c r="J9">
        <v>6</v>
      </c>
      <c r="K9">
        <f t="shared" si="1"/>
        <v>126</v>
      </c>
      <c r="L9">
        <f t="shared" si="2"/>
        <v>63</v>
      </c>
      <c r="M9">
        <f>SUM(K4:K8)</f>
        <v>105</v>
      </c>
      <c r="N9">
        <f>SUM(L4:L8)</f>
        <v>54</v>
      </c>
      <c r="O9" s="41">
        <f t="shared" si="3"/>
        <v>0.24806833149682728</v>
      </c>
      <c r="P9" s="41">
        <f t="shared" si="4"/>
        <v>1.7961366629936546</v>
      </c>
      <c r="Q9" s="41">
        <f t="shared" si="5"/>
        <v>2.3625555380650215E-3</v>
      </c>
      <c r="R9">
        <f t="shared" si="0"/>
        <v>1800</v>
      </c>
      <c r="S9">
        <f t="shared" si="6"/>
        <v>189000</v>
      </c>
      <c r="T9" s="41">
        <f t="shared" si="7"/>
        <v>4.5938579906819868E-3</v>
      </c>
      <c r="U9" s="41">
        <f t="shared" si="8"/>
        <v>1.7106063457082425E-2</v>
      </c>
      <c r="V9" s="41">
        <f t="shared" si="9"/>
        <v>3.3261790055438049E-2</v>
      </c>
    </row>
    <row r="10" spans="2:22" x14ac:dyDescent="0.3">
      <c r="C10">
        <v>1</v>
      </c>
      <c r="D10">
        <f>2500+C10*2500</f>
        <v>5000</v>
      </c>
      <c r="J10">
        <v>7</v>
      </c>
      <c r="K10">
        <f t="shared" si="1"/>
        <v>217</v>
      </c>
      <c r="L10">
        <f t="shared" si="2"/>
        <v>109</v>
      </c>
      <c r="M10">
        <f>SUM(K4:K9)</f>
        <v>231</v>
      </c>
      <c r="N10">
        <f>SUM(L4:L9)</f>
        <v>117</v>
      </c>
      <c r="O10" s="41">
        <f t="shared" si="3"/>
        <v>1.396453621657884</v>
      </c>
      <c r="P10" s="41">
        <f t="shared" si="4"/>
        <v>4.0929072433157678</v>
      </c>
      <c r="Q10" s="41">
        <f t="shared" si="5"/>
        <v>6.0452537734107534E-3</v>
      </c>
      <c r="R10">
        <f t="shared" si="0"/>
        <v>2000</v>
      </c>
      <c r="S10">
        <f t="shared" si="6"/>
        <v>462000</v>
      </c>
      <c r="T10" s="41">
        <f t="shared" si="7"/>
        <v>1.1935501039810975E-2</v>
      </c>
      <c r="U10" s="41">
        <f t="shared" si="8"/>
        <v>1.7718213174527132E-2</v>
      </c>
      <c r="V10" s="41">
        <f t="shared" si="9"/>
        <v>3.4982113190733057E-2</v>
      </c>
    </row>
    <row r="11" spans="2:22" x14ac:dyDescent="0.3">
      <c r="C11">
        <v>2</v>
      </c>
      <c r="D11">
        <f>2500+C11*2500</f>
        <v>7500</v>
      </c>
      <c r="J11">
        <v>8</v>
      </c>
      <c r="K11">
        <f t="shared" si="1"/>
        <v>344</v>
      </c>
      <c r="L11">
        <f t="shared" si="2"/>
        <v>172</v>
      </c>
      <c r="M11">
        <f>SUM(K4:K10)</f>
        <v>448</v>
      </c>
      <c r="N11">
        <f>SUM(L4:L10)</f>
        <v>226</v>
      </c>
      <c r="O11" s="41">
        <f t="shared" si="3"/>
        <v>3.3510779641070823</v>
      </c>
      <c r="P11" s="41">
        <f t="shared" si="4"/>
        <v>8.0021559282141652</v>
      </c>
      <c r="Q11" s="41">
        <f t="shared" si="5"/>
        <v>7.4800847413104511E-3</v>
      </c>
      <c r="R11">
        <f t="shared" si="0"/>
        <v>2200</v>
      </c>
      <c r="S11">
        <f t="shared" si="6"/>
        <v>985600</v>
      </c>
      <c r="T11" s="41">
        <f t="shared" si="7"/>
        <v>1.4827778602243727E-2</v>
      </c>
      <c r="U11" s="41">
        <f t="shared" si="8"/>
        <v>1.7861955196906618E-2</v>
      </c>
      <c r="V11" s="41">
        <f t="shared" si="9"/>
        <v>3.5407769593867988E-2</v>
      </c>
    </row>
    <row r="12" spans="2:22" x14ac:dyDescent="0.3">
      <c r="C12">
        <v>3</v>
      </c>
      <c r="D12">
        <f t="shared" ref="D12:D18" si="10">2500+C12*2500</f>
        <v>10000</v>
      </c>
      <c r="J12">
        <v>9</v>
      </c>
      <c r="K12">
        <f t="shared" si="1"/>
        <v>513</v>
      </c>
      <c r="L12">
        <f t="shared" si="2"/>
        <v>257</v>
      </c>
      <c r="M12">
        <f>SUM(K4:K11)</f>
        <v>792</v>
      </c>
      <c r="N12">
        <f>SUM(L4:L11)</f>
        <v>398</v>
      </c>
      <c r="O12" s="41">
        <f t="shared" si="3"/>
        <v>6.4356192782715125</v>
      </c>
      <c r="P12" s="41">
        <f t="shared" si="4"/>
        <v>14.171238556543026</v>
      </c>
      <c r="Q12" s="41">
        <f t="shared" si="5"/>
        <v>8.125781917009486E-3</v>
      </c>
      <c r="R12">
        <f t="shared" si="0"/>
        <v>2400</v>
      </c>
      <c r="S12">
        <f t="shared" si="6"/>
        <v>1900800</v>
      </c>
      <c r="T12" s="41">
        <f t="shared" si="7"/>
        <v>1.6169897684099276E-2</v>
      </c>
      <c r="U12" s="41">
        <f t="shared" si="8"/>
        <v>1.7892977975433114E-2</v>
      </c>
      <c r="V12" s="41">
        <f t="shared" si="9"/>
        <v>3.5606127026490013E-2</v>
      </c>
    </row>
    <row r="13" spans="2:22" x14ac:dyDescent="0.3">
      <c r="C13">
        <v>4</v>
      </c>
      <c r="D13">
        <f t="shared" si="10"/>
        <v>12500</v>
      </c>
      <c r="J13">
        <v>10</v>
      </c>
      <c r="K13">
        <f t="shared" si="1"/>
        <v>730</v>
      </c>
      <c r="L13">
        <f t="shared" si="2"/>
        <v>365</v>
      </c>
      <c r="M13">
        <f>SUM(K4:K12)</f>
        <v>1305</v>
      </c>
      <c r="N13">
        <f>SUM(L4:L12)</f>
        <v>655</v>
      </c>
      <c r="O13" s="41">
        <f t="shared" si="3"/>
        <v>11.034327326919785</v>
      </c>
      <c r="P13" s="41">
        <f t="shared" si="4"/>
        <v>23.36865465383957</v>
      </c>
      <c r="Q13" s="41">
        <f t="shared" si="5"/>
        <v>8.4554232390189922E-3</v>
      </c>
      <c r="R13">
        <f t="shared" si="0"/>
        <v>2600</v>
      </c>
      <c r="S13">
        <f t="shared" si="6"/>
        <v>3393000</v>
      </c>
      <c r="T13" s="41">
        <f t="shared" si="7"/>
        <v>1.6846301262472954E-2</v>
      </c>
      <c r="U13" s="41">
        <f t="shared" si="8"/>
        <v>1.7907015060413464E-2</v>
      </c>
      <c r="V13" s="41">
        <f t="shared" si="9"/>
        <v>3.5677335349373389E-2</v>
      </c>
    </row>
    <row r="14" spans="2:22" x14ac:dyDescent="0.3">
      <c r="C14">
        <v>5</v>
      </c>
      <c r="D14">
        <f t="shared" si="10"/>
        <v>15000</v>
      </c>
      <c r="J14">
        <v>11</v>
      </c>
      <c r="K14">
        <f t="shared" si="1"/>
        <v>1001</v>
      </c>
      <c r="L14">
        <f t="shared" si="2"/>
        <v>501</v>
      </c>
      <c r="M14">
        <f>SUM(K4:K13)</f>
        <v>2035</v>
      </c>
      <c r="N14">
        <f>SUM(L4:L13)</f>
        <v>1020</v>
      </c>
      <c r="O14" s="41">
        <f t="shared" si="3"/>
        <v>17.593671209040679</v>
      </c>
      <c r="P14" s="41">
        <f t="shared" si="4"/>
        <v>36.487342418081354</v>
      </c>
      <c r="Q14" s="41">
        <f t="shared" si="5"/>
        <v>8.6455386776612669E-3</v>
      </c>
      <c r="R14">
        <f t="shared" si="0"/>
        <v>2800</v>
      </c>
      <c r="S14">
        <f t="shared" si="6"/>
        <v>5698000</v>
      </c>
      <c r="T14" s="41">
        <f t="shared" si="7"/>
        <v>1.7248697263765371E-2</v>
      </c>
      <c r="U14" s="41">
        <f t="shared" si="8"/>
        <v>1.7929897994143171E-2</v>
      </c>
      <c r="V14" s="41">
        <f t="shared" si="9"/>
        <v>3.577190433145231E-2</v>
      </c>
    </row>
    <row r="15" spans="2:22" x14ac:dyDescent="0.3">
      <c r="C15">
        <v>6</v>
      </c>
      <c r="D15">
        <f t="shared" si="10"/>
        <v>17500</v>
      </c>
      <c r="J15">
        <v>12</v>
      </c>
      <c r="K15">
        <f t="shared" si="1"/>
        <v>1332</v>
      </c>
      <c r="L15">
        <f t="shared" si="2"/>
        <v>666</v>
      </c>
      <c r="M15">
        <f>SUM(K4:K14)</f>
        <v>3036</v>
      </c>
      <c r="N15">
        <f>SUM(L4:L14)</f>
        <v>1521</v>
      </c>
      <c r="O15" s="41">
        <f t="shared" si="3"/>
        <v>26.623828068826533</v>
      </c>
      <c r="P15" s="41">
        <f t="shared" si="4"/>
        <v>54.547656137653064</v>
      </c>
      <c r="Q15" s="41">
        <f t="shared" si="5"/>
        <v>8.7693768342643388E-3</v>
      </c>
      <c r="R15">
        <f t="shared" si="0"/>
        <v>3000</v>
      </c>
      <c r="S15">
        <f t="shared" si="6"/>
        <v>9108000</v>
      </c>
      <c r="T15" s="41">
        <f t="shared" si="7"/>
        <v>1.7504160466026649E-2</v>
      </c>
      <c r="U15" s="41">
        <f t="shared" si="8"/>
        <v>1.7966948661941061E-2</v>
      </c>
      <c r="V15" s="41">
        <f t="shared" si="9"/>
        <v>3.586302178675415E-2</v>
      </c>
    </row>
    <row r="16" spans="2:22" x14ac:dyDescent="0.3">
      <c r="C16">
        <v>7</v>
      </c>
      <c r="D16">
        <f t="shared" si="10"/>
        <v>20000</v>
      </c>
      <c r="J16">
        <v>13</v>
      </c>
      <c r="M16">
        <f>SUM(K4:K15)</f>
        <v>4368</v>
      </c>
      <c r="N16">
        <f>SUM(L4:L15)</f>
        <v>2187</v>
      </c>
      <c r="O16" s="41">
        <f t="shared" si="3"/>
        <v>38.700043908413448</v>
      </c>
      <c r="P16" s="41">
        <f t="shared" si="4"/>
        <v>78.700087816826894</v>
      </c>
      <c r="Q16" s="41">
        <f t="shared" si="5"/>
        <v>8.8599001621825664E-3</v>
      </c>
      <c r="R16">
        <f t="shared" si="0"/>
        <v>3200</v>
      </c>
      <c r="S16">
        <f t="shared" si="6"/>
        <v>13977600</v>
      </c>
      <c r="T16" s="41">
        <f t="shared" si="7"/>
        <v>1.7695493328035414E-2</v>
      </c>
      <c r="U16" s="41">
        <f t="shared" si="8"/>
        <v>1.8017419371984179E-2</v>
      </c>
      <c r="V16" s="41">
        <f>P16/N16</f>
        <v>3.5985408238146728E-2</v>
      </c>
    </row>
    <row r="17" spans="3:4" x14ac:dyDescent="0.3">
      <c r="C17">
        <v>8</v>
      </c>
      <c r="D17">
        <f t="shared" si="10"/>
        <v>22500</v>
      </c>
    </row>
    <row r="18" spans="3:4" x14ac:dyDescent="0.3">
      <c r="C18">
        <v>9</v>
      </c>
      <c r="D18">
        <f t="shared" si="10"/>
        <v>25000</v>
      </c>
    </row>
    <row r="19" spans="3:4" x14ac:dyDescent="0.3">
      <c r="C19">
        <v>10</v>
      </c>
      <c r="D19">
        <f>C19*5000-20000</f>
        <v>30000</v>
      </c>
    </row>
    <row r="20" spans="3:4" x14ac:dyDescent="0.3">
      <c r="C20">
        <v>11</v>
      </c>
      <c r="D20">
        <f t="shared" ref="D20:D58" si="11">C20*5000-20000</f>
        <v>35000</v>
      </c>
    </row>
    <row r="21" spans="3:4" x14ac:dyDescent="0.3">
      <c r="C21">
        <v>12</v>
      </c>
      <c r="D21">
        <f t="shared" si="11"/>
        <v>40000</v>
      </c>
    </row>
    <row r="22" spans="3:4" x14ac:dyDescent="0.3">
      <c r="C22">
        <v>13</v>
      </c>
      <c r="D22">
        <f t="shared" si="11"/>
        <v>45000</v>
      </c>
    </row>
    <row r="23" spans="3:4" x14ac:dyDescent="0.3">
      <c r="C23">
        <v>14</v>
      </c>
      <c r="D23">
        <f t="shared" si="11"/>
        <v>50000</v>
      </c>
    </row>
    <row r="24" spans="3:4" x14ac:dyDescent="0.3">
      <c r="C24">
        <v>15</v>
      </c>
      <c r="D24">
        <f t="shared" si="11"/>
        <v>55000</v>
      </c>
    </row>
    <row r="25" spans="3:4" x14ac:dyDescent="0.3">
      <c r="C25">
        <v>16</v>
      </c>
      <c r="D25">
        <f t="shared" si="11"/>
        <v>60000</v>
      </c>
    </row>
    <row r="26" spans="3:4" x14ac:dyDescent="0.3">
      <c r="C26">
        <v>17</v>
      </c>
      <c r="D26">
        <f t="shared" si="11"/>
        <v>65000</v>
      </c>
    </row>
    <row r="27" spans="3:4" x14ac:dyDescent="0.3">
      <c r="C27">
        <v>18</v>
      </c>
      <c r="D27">
        <f t="shared" si="11"/>
        <v>70000</v>
      </c>
    </row>
    <row r="28" spans="3:4" x14ac:dyDescent="0.3">
      <c r="C28">
        <v>19</v>
      </c>
      <c r="D28">
        <f t="shared" si="11"/>
        <v>75000</v>
      </c>
    </row>
    <row r="29" spans="3:4" x14ac:dyDescent="0.3">
      <c r="C29">
        <v>20</v>
      </c>
      <c r="D29">
        <f t="shared" si="11"/>
        <v>80000</v>
      </c>
    </row>
    <row r="30" spans="3:4" x14ac:dyDescent="0.3">
      <c r="C30">
        <v>21</v>
      </c>
      <c r="D30">
        <f t="shared" si="11"/>
        <v>85000</v>
      </c>
    </row>
    <row r="31" spans="3:4" x14ac:dyDescent="0.3">
      <c r="C31">
        <v>22</v>
      </c>
      <c r="D31">
        <f t="shared" si="11"/>
        <v>90000</v>
      </c>
    </row>
    <row r="32" spans="3:4" x14ac:dyDescent="0.3">
      <c r="C32">
        <v>23</v>
      </c>
      <c r="D32">
        <f t="shared" si="11"/>
        <v>95000</v>
      </c>
    </row>
    <row r="33" spans="3:4" x14ac:dyDescent="0.3">
      <c r="C33">
        <v>24</v>
      </c>
      <c r="D33">
        <f t="shared" si="11"/>
        <v>100000</v>
      </c>
    </row>
    <row r="34" spans="3:4" x14ac:dyDescent="0.3">
      <c r="C34">
        <v>25</v>
      </c>
      <c r="D34">
        <f t="shared" si="11"/>
        <v>105000</v>
      </c>
    </row>
    <row r="35" spans="3:4" x14ac:dyDescent="0.3">
      <c r="C35">
        <v>26</v>
      </c>
      <c r="D35">
        <f t="shared" si="11"/>
        <v>110000</v>
      </c>
    </row>
    <row r="36" spans="3:4" x14ac:dyDescent="0.3">
      <c r="C36">
        <v>27</v>
      </c>
      <c r="D36">
        <f t="shared" si="11"/>
        <v>115000</v>
      </c>
    </row>
    <row r="37" spans="3:4" x14ac:dyDescent="0.3">
      <c r="C37">
        <v>28</v>
      </c>
      <c r="D37">
        <f t="shared" si="11"/>
        <v>120000</v>
      </c>
    </row>
    <row r="38" spans="3:4" x14ac:dyDescent="0.3">
      <c r="C38">
        <v>29</v>
      </c>
      <c r="D38">
        <f t="shared" si="11"/>
        <v>125000</v>
      </c>
    </row>
    <row r="39" spans="3:4" x14ac:dyDescent="0.3">
      <c r="C39">
        <v>30</v>
      </c>
      <c r="D39">
        <f t="shared" si="11"/>
        <v>130000</v>
      </c>
    </row>
    <row r="40" spans="3:4" x14ac:dyDescent="0.3">
      <c r="C40">
        <v>31</v>
      </c>
      <c r="D40">
        <f t="shared" si="11"/>
        <v>135000</v>
      </c>
    </row>
    <row r="41" spans="3:4" x14ac:dyDescent="0.3">
      <c r="C41">
        <v>32</v>
      </c>
      <c r="D41">
        <f t="shared" si="11"/>
        <v>140000</v>
      </c>
    </row>
    <row r="42" spans="3:4" x14ac:dyDescent="0.3">
      <c r="C42">
        <v>33</v>
      </c>
      <c r="D42">
        <f t="shared" si="11"/>
        <v>145000</v>
      </c>
    </row>
    <row r="43" spans="3:4" x14ac:dyDescent="0.3">
      <c r="C43">
        <v>34</v>
      </c>
      <c r="D43">
        <f>C43*5000-20000</f>
        <v>150000</v>
      </c>
    </row>
    <row r="44" spans="3:4" x14ac:dyDescent="0.3">
      <c r="C44">
        <v>35</v>
      </c>
      <c r="D44">
        <f t="shared" si="11"/>
        <v>155000</v>
      </c>
    </row>
    <row r="45" spans="3:4" x14ac:dyDescent="0.3">
      <c r="C45">
        <v>36</v>
      </c>
      <c r="D45">
        <f t="shared" si="11"/>
        <v>160000</v>
      </c>
    </row>
    <row r="46" spans="3:4" x14ac:dyDescent="0.3">
      <c r="C46">
        <v>37</v>
      </c>
      <c r="D46">
        <f t="shared" si="11"/>
        <v>165000</v>
      </c>
    </row>
    <row r="47" spans="3:4" x14ac:dyDescent="0.3">
      <c r="C47">
        <v>38</v>
      </c>
      <c r="D47">
        <f t="shared" si="11"/>
        <v>170000</v>
      </c>
    </row>
    <row r="48" spans="3:4" x14ac:dyDescent="0.3">
      <c r="C48">
        <v>39</v>
      </c>
      <c r="D48">
        <f t="shared" si="11"/>
        <v>175000</v>
      </c>
    </row>
    <row r="49" spans="3:4" x14ac:dyDescent="0.3">
      <c r="C49">
        <v>40</v>
      </c>
      <c r="D49">
        <f t="shared" si="11"/>
        <v>180000</v>
      </c>
    </row>
    <row r="50" spans="3:4" x14ac:dyDescent="0.3">
      <c r="C50">
        <v>41</v>
      </c>
      <c r="D50">
        <f t="shared" si="11"/>
        <v>185000</v>
      </c>
    </row>
    <row r="51" spans="3:4" x14ac:dyDescent="0.3">
      <c r="C51">
        <v>42</v>
      </c>
      <c r="D51">
        <f t="shared" si="11"/>
        <v>190000</v>
      </c>
    </row>
    <row r="52" spans="3:4" x14ac:dyDescent="0.3">
      <c r="C52">
        <v>43</v>
      </c>
      <c r="D52">
        <f t="shared" si="11"/>
        <v>195000</v>
      </c>
    </row>
    <row r="53" spans="3:4" x14ac:dyDescent="0.3">
      <c r="C53">
        <v>44</v>
      </c>
      <c r="D53">
        <f t="shared" si="11"/>
        <v>200000</v>
      </c>
    </row>
    <row r="54" spans="3:4" x14ac:dyDescent="0.3">
      <c r="C54">
        <v>45</v>
      </c>
      <c r="D54">
        <f t="shared" si="11"/>
        <v>205000</v>
      </c>
    </row>
    <row r="55" spans="3:4" x14ac:dyDescent="0.3">
      <c r="C55">
        <v>46</v>
      </c>
      <c r="D55">
        <f t="shared" si="11"/>
        <v>210000</v>
      </c>
    </row>
    <row r="56" spans="3:4" x14ac:dyDescent="0.3">
      <c r="C56">
        <v>47</v>
      </c>
      <c r="D56">
        <f t="shared" si="11"/>
        <v>215000</v>
      </c>
    </row>
    <row r="57" spans="3:4" x14ac:dyDescent="0.3">
      <c r="C57">
        <v>48</v>
      </c>
      <c r="D57">
        <f t="shared" si="11"/>
        <v>220000</v>
      </c>
    </row>
    <row r="58" spans="3:4" x14ac:dyDescent="0.3">
      <c r="C58">
        <v>49</v>
      </c>
      <c r="D58">
        <f t="shared" si="11"/>
        <v>225000</v>
      </c>
    </row>
    <row r="59" spans="3:4" x14ac:dyDescent="0.3">
      <c r="C59">
        <v>50</v>
      </c>
      <c r="D59">
        <f t="shared" ref="D59:D64" si="12">C59*25000-1000000</f>
        <v>250000</v>
      </c>
    </row>
    <row r="60" spans="3:4" x14ac:dyDescent="0.3">
      <c r="C60">
        <v>51</v>
      </c>
      <c r="D60">
        <f t="shared" si="12"/>
        <v>275000</v>
      </c>
    </row>
    <row r="61" spans="3:4" x14ac:dyDescent="0.3">
      <c r="C61">
        <v>52</v>
      </c>
      <c r="D61">
        <f t="shared" si="12"/>
        <v>300000</v>
      </c>
    </row>
    <row r="62" spans="3:4" x14ac:dyDescent="0.3">
      <c r="C62">
        <v>53</v>
      </c>
      <c r="D62">
        <f t="shared" si="12"/>
        <v>325000</v>
      </c>
    </row>
    <row r="63" spans="3:4" x14ac:dyDescent="0.3">
      <c r="C63">
        <v>54</v>
      </c>
      <c r="D63">
        <f t="shared" si="12"/>
        <v>350000</v>
      </c>
    </row>
    <row r="64" spans="3:4"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264</v>
      </c>
    </row>
    <row r="2" spans="2:23" x14ac:dyDescent="0.3">
      <c r="C2" s="2" t="s">
        <v>265</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267</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208</v>
      </c>
    </row>
    <row r="26" spans="2:23" x14ac:dyDescent="0.3">
      <c r="C26" s="3"/>
    </row>
    <row r="27" spans="2:23" x14ac:dyDescent="0.3">
      <c r="C27" s="4" t="s">
        <v>41</v>
      </c>
      <c r="D27" t="s">
        <v>198</v>
      </c>
    </row>
    <row r="28" spans="2:23" x14ac:dyDescent="0.3">
      <c r="D28" t="s">
        <v>199</v>
      </c>
    </row>
    <row r="29" spans="2:23" x14ac:dyDescent="0.3">
      <c r="D29" t="s">
        <v>48</v>
      </c>
    </row>
    <row r="30" spans="2:23" x14ac:dyDescent="0.3">
      <c r="D30" t="s">
        <v>181</v>
      </c>
    </row>
    <row r="31" spans="2:23" x14ac:dyDescent="0.3">
      <c r="D31" t="s">
        <v>180</v>
      </c>
    </row>
    <row r="32" spans="2:23" x14ac:dyDescent="0.3">
      <c r="D32" t="s">
        <v>258</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枪械</vt:lpstr>
      <vt:lpstr>防具</vt:lpstr>
      <vt:lpstr>刀</vt:lpstr>
      <vt:lpstr>爆炸类</vt:lpstr>
      <vt:lpstr>装备价格</vt:lpstr>
      <vt:lpstr>合成表成本</vt:lpstr>
      <vt:lpstr>副本收益</vt:lpstr>
      <vt:lpstr>怪物大致面板</vt:lpstr>
      <vt:lpstr>经验辅助计算</vt:lpstr>
      <vt:lpstr>技能格式</vt:lpstr>
      <vt:lpstr>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2024-11-12T16:47:13Z</dcterms:modified>
</cp:coreProperties>
</file>