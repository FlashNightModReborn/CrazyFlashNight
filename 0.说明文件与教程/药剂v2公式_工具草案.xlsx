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药剂v2_草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1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8.83203125" customWidth="1"/>
  </cols>
  <sheetData>
    <row r="1">
      <c r="A1" t="str">
        <v>药剂公式 v2（工具草案 2026-10-09）——与 computePotionV2Row 逐项同口径；制作组核对后再并入 药剂面板</v>
      </c>
    </row>
    <row r="3">
      <c r="A3" t="str">
        <v>说明：</v>
      </c>
      <c r="B3" t="str">
        <v>buffSpeed 填 实际百分比/2（如 +35% 填 17.5）；buffCritRate 填暴击率百分比（+15 填 15，固定×1.5暴伤折算=12.5分/1%）；buffToughness×0.4=防御等价；isGroup 0/1；buffDuration 帧，0=无限</v>
      </c>
    </row>
    <row r="5">
      <c r="A5" t="str">
        <v>itemName</v>
      </c>
      <c r="B5" t="str">
        <v>sourceFile</v>
      </c>
      <c r="C5" t="str">
        <v>sourceLevel</v>
      </c>
      <c r="D5" t="str">
        <v>domain</v>
      </c>
      <c r="E5" t="str">
        <v>in_instantHp</v>
      </c>
      <c r="F5" t="str">
        <v>in_instantMp</v>
      </c>
      <c r="G5" t="str">
        <v>in_regenHp</v>
      </c>
      <c r="H5" t="str">
        <v>in_regenMp</v>
      </c>
      <c r="I5" t="str">
        <v>in_regenFrames</v>
      </c>
      <c r="J5" t="str">
        <v>in_isGroup</v>
      </c>
      <c r="K5" t="str">
        <v>in_purifyValue</v>
      </c>
      <c r="L5" t="str">
        <v>in_toxicity</v>
      </c>
      <c r="M5" t="str">
        <v>in_buffHp</v>
      </c>
      <c r="N5" t="str">
        <v>in_buffMp</v>
      </c>
      <c r="O5" t="str">
        <v>in_buffDefence</v>
      </c>
      <c r="P5" t="str">
        <v>in_buffMagicResist</v>
      </c>
      <c r="Q5" t="str">
        <v>in_buffDamage</v>
      </c>
      <c r="R5" t="str">
        <v>in_buffPunch</v>
      </c>
      <c r="S5" t="str">
        <v>in_buffSpeed</v>
      </c>
      <c r="T5" t="str">
        <v>in_buffToughness</v>
      </c>
      <c r="U5" t="str">
        <v>in_buffCritRate</v>
      </c>
      <c r="V5" t="str">
        <v>in_buffDuration</v>
      </c>
      <c r="W5" t="str">
        <v/>
      </c>
      <c r="X5" t="str">
        <v>instantRecoveryStrength</v>
      </c>
      <c r="Y5" t="str">
        <v>regenRecoveryStrength</v>
      </c>
      <c r="Z5" t="str">
        <v>recoveryStrength</v>
      </c>
      <c r="AA5" t="str">
        <v>purifyStrength</v>
      </c>
      <c r="AB5" t="str">
        <v>toxicStrength</v>
      </c>
      <c r="AC5" t="str">
        <v>toughnessBase</v>
      </c>
      <c r="AD5" t="str">
        <v>critBase</v>
      </c>
      <c r="AE5" t="str">
        <v>buffBase</v>
      </c>
      <c r="AF5" t="str">
        <v>buffMult</v>
      </c>
      <c r="AG5" t="str">
        <v>buffStrength</v>
      </c>
      <c r="AH5" t="str">
        <v>toughnessStrength</v>
      </c>
      <c r="AI5" t="str">
        <v>regenCurrentDecay</v>
      </c>
      <c r="AJ5" t="str">
        <v>discountedRegenStrength</v>
      </c>
      <c r="AK5" t="str">
        <v>groupMult</v>
      </c>
      <c r="AL5" t="str">
        <v>currentValue</v>
      </c>
      <c r="AM5" t="str">
        <v>valueCap</v>
      </c>
      <c r="AN5" t="str">
        <v>recoveryInstantPrice</v>
      </c>
      <c r="AO5" t="str">
        <v>regenSustainDecay</v>
      </c>
      <c r="AP5" t="str">
        <v>recoveryRegenPrice</v>
      </c>
      <c r="AQ5" t="str">
        <v>purifyPrice</v>
      </c>
      <c r="AR5" t="str">
        <v>toxicPrice</v>
      </c>
      <c r="AS5" t="str">
        <v>buffPrice</v>
      </c>
      <c r="AT5" t="str">
        <v>rawPrice</v>
      </c>
      <c r="AU5" t="str">
        <v>recommendedPrice</v>
      </c>
    </row>
    <row r="6">
      <c r="A6" t="str">
        <v>糖分冲击</v>
      </c>
      <c r="B6" t="str">
        <v>消耗品_酒水.xml</v>
      </c>
      <c r="C6">
        <v>10</v>
      </c>
      <c r="D6" t="str">
        <v>meal</v>
      </c>
      <c r="E6">
        <v>100</v>
      </c>
      <c r="F6">
        <v>160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-8</v>
      </c>
      <c r="P6">
        <v>0</v>
      </c>
      <c r="Q6">
        <v>15</v>
      </c>
      <c r="R6">
        <v>0</v>
      </c>
      <c r="S6">
        <v>0</v>
      </c>
      <c r="T6">
        <v>0</v>
      </c>
      <c r="U6">
        <v>8</v>
      </c>
      <c r="V6">
        <v>1800</v>
      </c>
      <c r="X6">
        <f>=E6+F6</f>
      </c>
      <c r="Y6">
        <f>=G6+H6</f>
      </c>
      <c r="Z6">
        <f>=X6+Y6</f>
      </c>
    </row>
    <row r="7">
      <c r="A7" t="str">
        <v>蓝色妖精</v>
      </c>
      <c r="B7" t="str">
        <v>消耗品_酒水.xml</v>
      </c>
      <c r="C7">
        <v>14</v>
      </c>
      <c r="D7" t="str">
        <v>meal</v>
      </c>
      <c r="E7">
        <v>140</v>
      </c>
      <c r="F7">
        <v>240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-8</v>
      </c>
      <c r="P7">
        <v>0</v>
      </c>
      <c r="Q7">
        <v>20</v>
      </c>
      <c r="R7">
        <v>0</v>
      </c>
      <c r="S7">
        <v>0</v>
      </c>
      <c r="T7">
        <v>0</v>
      </c>
      <c r="U7">
        <v>10</v>
      </c>
      <c r="V7">
        <v>1800</v>
      </c>
      <c r="X7">
        <f>=E7+F7</f>
      </c>
      <c r="Y7">
        <f>=G7+H7</f>
      </c>
      <c r="Z7">
        <f>=X7+Y7</f>
      </c>
    </row>
    <row r="8">
      <c r="A8" t="str">
        <v>白兰提尼</v>
      </c>
      <c r="B8" t="str">
        <v>消耗品_酒水.xml</v>
      </c>
      <c r="C8">
        <v>22</v>
      </c>
      <c r="D8" t="str">
        <v>meal</v>
      </c>
      <c r="E8">
        <v>220</v>
      </c>
      <c r="F8">
        <v>400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-10</v>
      </c>
      <c r="P8">
        <v>0</v>
      </c>
      <c r="Q8">
        <v>30</v>
      </c>
      <c r="R8">
        <v>0</v>
      </c>
      <c r="S8">
        <v>0</v>
      </c>
      <c r="T8">
        <v>0</v>
      </c>
      <c r="U8">
        <v>15</v>
      </c>
      <c r="V8">
        <v>1800</v>
      </c>
      <c r="X8">
        <f>=E8+F8</f>
      </c>
      <c r="Y8">
        <f>=G8+H8</f>
      </c>
      <c r="Z8">
        <f>=X8+Y8</f>
      </c>
    </row>
    <row r="9">
      <c r="A9" t="str">
        <v>月爆</v>
      </c>
      <c r="B9" t="str">
        <v>消耗品_酒水.xml</v>
      </c>
      <c r="C9">
        <v>22</v>
      </c>
      <c r="D9" t="str">
        <v>meal</v>
      </c>
      <c r="E9">
        <v>220</v>
      </c>
      <c r="F9">
        <v>400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-10</v>
      </c>
      <c r="P9">
        <v>0</v>
      </c>
      <c r="Q9">
        <v>30</v>
      </c>
      <c r="R9">
        <v>0</v>
      </c>
      <c r="S9">
        <v>0</v>
      </c>
      <c r="T9">
        <v>0</v>
      </c>
      <c r="U9">
        <v>15</v>
      </c>
      <c r="V9">
        <v>1800</v>
      </c>
      <c r="X9">
        <f>=E9+F9</f>
      </c>
      <c r="Y9">
        <f>=G9+H9</f>
      </c>
      <c r="Z9">
        <f>=X9+Y9</f>
      </c>
    </row>
    <row r="10">
      <c r="A10" t="str">
        <v>钢琴女郎</v>
      </c>
      <c r="B10" t="str">
        <v>消耗品_酒水.xml</v>
      </c>
      <c r="C10">
        <v>34</v>
      </c>
      <c r="D10" t="str">
        <v>meal</v>
      </c>
      <c r="E10">
        <v>380</v>
      </c>
      <c r="F10">
        <v>720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-15</v>
      </c>
      <c r="P10">
        <v>0</v>
      </c>
      <c r="Q10">
        <v>45</v>
      </c>
      <c r="R10">
        <v>0</v>
      </c>
      <c r="S10">
        <v>0</v>
      </c>
      <c r="T10">
        <v>0</v>
      </c>
      <c r="U10">
        <v>22</v>
      </c>
      <c r="V10">
        <v>1800</v>
      </c>
      <c r="X10">
        <f>=E10+F10</f>
      </c>
      <c r="Y10">
        <f>=G10+H10</f>
      </c>
      <c r="Z10">
        <f>=X10+Y10</f>
      </c>
    </row>
    <row r="11">
      <c r="A11" t="str">
        <v>闪耀星</v>
      </c>
      <c r="B11" t="str">
        <v>消耗品_酒水.xml</v>
      </c>
      <c r="C11">
        <v>10</v>
      </c>
      <c r="D11" t="str">
        <v>meal</v>
      </c>
      <c r="E11">
        <v>100</v>
      </c>
      <c r="F11">
        <v>160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-8</v>
      </c>
      <c r="P11">
        <v>0</v>
      </c>
      <c r="Q11">
        <v>15</v>
      </c>
      <c r="R11">
        <v>0</v>
      </c>
      <c r="S11">
        <v>0</v>
      </c>
      <c r="T11">
        <v>0</v>
      </c>
      <c r="U11">
        <v>8</v>
      </c>
      <c r="V11">
        <v>1800</v>
      </c>
      <c r="X11">
        <f>=E11+F11</f>
      </c>
      <c r="Y11">
        <f>=G11+H11</f>
      </c>
      <c r="Z11">
        <f>=X11+Y11</f>
      </c>
    </row>
    <row r="12">
      <c r="A12" t="str">
        <v>滴血简</v>
      </c>
      <c r="B12" t="str">
        <v>消耗品_酒水.xml</v>
      </c>
      <c r="C12">
        <v>14</v>
      </c>
      <c r="D12" t="str">
        <v>meal</v>
      </c>
      <c r="E12">
        <v>160</v>
      </c>
      <c r="F12">
        <v>280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-8</v>
      </c>
      <c r="P12">
        <v>0</v>
      </c>
      <c r="Q12">
        <v>20</v>
      </c>
      <c r="R12">
        <v>0</v>
      </c>
      <c r="S12">
        <v>0</v>
      </c>
      <c r="T12">
        <v>0</v>
      </c>
      <c r="U12">
        <v>10</v>
      </c>
      <c r="V12">
        <v>1800</v>
      </c>
      <c r="X12">
        <f>=E12+F12</f>
      </c>
      <c r="Y12">
        <f>=G12+H12</f>
      </c>
      <c r="Z12">
        <f>=X12+Y12</f>
      </c>
    </row>
    <row r="13">
      <c r="A13" t="str">
        <v>火星爆</v>
      </c>
      <c r="B13" t="str">
        <v>消耗品_酒水.xml</v>
      </c>
      <c r="C13">
        <v>26</v>
      </c>
      <c r="D13" t="str">
        <v>meal</v>
      </c>
      <c r="E13">
        <v>280</v>
      </c>
      <c r="F13">
        <v>520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-12</v>
      </c>
      <c r="P13">
        <v>0</v>
      </c>
      <c r="Q13">
        <v>35</v>
      </c>
      <c r="R13">
        <v>0</v>
      </c>
      <c r="S13">
        <v>0</v>
      </c>
      <c r="T13">
        <v>0</v>
      </c>
      <c r="U13">
        <v>18</v>
      </c>
      <c r="V13">
        <v>1800</v>
      </c>
      <c r="X13">
        <f>=E13+F13</f>
      </c>
      <c r="Y13">
        <f>=G13+H13</f>
      </c>
      <c r="Z13">
        <f>=X13+Y13</f>
      </c>
    </row>
    <row r="14">
      <c r="A14" t="str">
        <v>绽放之光</v>
      </c>
      <c r="B14" t="str">
        <v>消耗品_酒水.xml</v>
      </c>
      <c r="C14">
        <v>22</v>
      </c>
      <c r="D14" t="str">
        <v>meal</v>
      </c>
      <c r="E14">
        <v>220</v>
      </c>
      <c r="F14">
        <v>400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-10</v>
      </c>
      <c r="P14">
        <v>0</v>
      </c>
      <c r="Q14">
        <v>30</v>
      </c>
      <c r="R14">
        <v>0</v>
      </c>
      <c r="S14">
        <v>0</v>
      </c>
      <c r="T14">
        <v>0</v>
      </c>
      <c r="U14">
        <v>15</v>
      </c>
      <c r="V14">
        <v>1800</v>
      </c>
      <c r="X14">
        <f>=E14+F14</f>
      </c>
      <c r="Y14">
        <f>=G14+H14</f>
      </c>
      <c r="Z14">
        <f>=X14+Y14</f>
      </c>
    </row>
    <row r="15">
      <c r="A15" t="str">
        <v>咸猪手</v>
      </c>
      <c r="B15" t="str">
        <v>消耗品_酒水.xml</v>
      </c>
      <c r="C15">
        <v>22</v>
      </c>
      <c r="D15" t="str">
        <v>meal</v>
      </c>
      <c r="E15">
        <v>220</v>
      </c>
      <c r="F15">
        <v>400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-10</v>
      </c>
      <c r="P15">
        <v>0</v>
      </c>
      <c r="Q15">
        <v>30</v>
      </c>
      <c r="R15">
        <v>0</v>
      </c>
      <c r="S15">
        <v>0</v>
      </c>
      <c r="T15">
        <v>0</v>
      </c>
      <c r="U15">
        <v>15</v>
      </c>
      <c r="V15">
        <v>1800</v>
      </c>
      <c r="X15">
        <f>=E15+F15</f>
      </c>
      <c r="Y15">
        <f>=G15+H15</f>
      </c>
      <c r="Z15">
        <f>=X15+Y15</f>
      </c>
    </row>
    <row r="16">
      <c r="A16" t="str">
        <v>钢琴师</v>
      </c>
      <c r="B16" t="str">
        <v>消耗品_酒水.xml</v>
      </c>
      <c r="C16">
        <v>33</v>
      </c>
      <c r="D16" t="str">
        <v>meal</v>
      </c>
      <c r="E16">
        <v>360</v>
      </c>
      <c r="F16">
        <v>680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-15</v>
      </c>
      <c r="P16">
        <v>0</v>
      </c>
      <c r="Q16">
        <v>45</v>
      </c>
      <c r="R16">
        <v>0</v>
      </c>
      <c r="S16">
        <v>0</v>
      </c>
      <c r="T16">
        <v>0</v>
      </c>
      <c r="U16">
        <v>22</v>
      </c>
      <c r="V16">
        <v>1800</v>
      </c>
      <c r="X16">
        <f>=E16+F16</f>
      </c>
      <c r="Y16">
        <f>=G16+H16</f>
      </c>
      <c r="Z16">
        <f>=X16+Y16</f>
      </c>
    </row>
    <row r="17">
      <c r="A17" t="str">
        <v>禅星</v>
      </c>
      <c r="B17" t="str">
        <v>消耗品_酒水.xml</v>
      </c>
      <c r="C17">
        <v>38</v>
      </c>
      <c r="D17" t="str">
        <v>meal</v>
      </c>
      <c r="E17">
        <v>400</v>
      </c>
      <c r="F17">
        <v>800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-15</v>
      </c>
      <c r="P17">
        <v>0</v>
      </c>
      <c r="Q17">
        <v>50</v>
      </c>
      <c r="R17">
        <v>0</v>
      </c>
      <c r="S17">
        <v>0</v>
      </c>
      <c r="T17">
        <v>0</v>
      </c>
      <c r="U17">
        <v>25</v>
      </c>
      <c r="V17">
        <v>1800</v>
      </c>
      <c r="X17">
        <f>=E17+F17</f>
      </c>
      <c r="Y17">
        <f>=G17+H17</f>
      </c>
      <c r="Z17">
        <f>=X17+Y17</f>
      </c>
    </row>
    <row r="18">
      <c r="A18" t="str">
        <v>水星爆</v>
      </c>
      <c r="B18" t="str">
        <v>消耗品_酒水.xml</v>
      </c>
      <c r="C18">
        <v>22</v>
      </c>
      <c r="D18" t="str">
        <v>meal</v>
      </c>
      <c r="E18">
        <v>220</v>
      </c>
      <c r="F18">
        <v>400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-10</v>
      </c>
      <c r="P18">
        <v>0</v>
      </c>
      <c r="Q18">
        <v>30</v>
      </c>
      <c r="R18">
        <v>0</v>
      </c>
      <c r="S18">
        <v>0</v>
      </c>
      <c r="T18">
        <v>0</v>
      </c>
      <c r="U18">
        <v>15</v>
      </c>
      <c r="V18">
        <v>1800</v>
      </c>
      <c r="X18">
        <f>=E18+F18</f>
      </c>
      <c r="Y18">
        <f>=G18+H18</f>
      </c>
      <c r="Z18">
        <f>=X18+Y18</f>
      </c>
    </row>
    <row r="19">
      <c r="A19" t="str">
        <v>烈焰摩艾</v>
      </c>
      <c r="B19" t="str">
        <v>消耗品_酒水.xml</v>
      </c>
      <c r="C19">
        <v>25</v>
      </c>
      <c r="D19" t="str">
        <v>meal</v>
      </c>
      <c r="E19">
        <v>240</v>
      </c>
      <c r="F19">
        <v>440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-12</v>
      </c>
      <c r="P19">
        <v>0</v>
      </c>
      <c r="Q19">
        <v>35</v>
      </c>
      <c r="R19">
        <v>0</v>
      </c>
      <c r="S19">
        <v>0</v>
      </c>
      <c r="T19">
        <v>0</v>
      </c>
      <c r="U19">
        <v>18</v>
      </c>
      <c r="V19">
        <v>1800</v>
      </c>
      <c r="X19">
        <f>=E19+F19</f>
      </c>
      <c r="Y19">
        <f>=G19+H19</f>
      </c>
      <c r="Z19">
        <f>=X19+Y19</f>
      </c>
    </row>
    <row r="20">
      <c r="A20" t="str">
        <v>裂谷尖刺</v>
      </c>
      <c r="B20" t="str">
        <v>消耗品_酒水.xml</v>
      </c>
      <c r="C20">
        <v>14</v>
      </c>
      <c r="D20" t="str">
        <v>meal</v>
      </c>
      <c r="E20">
        <v>140</v>
      </c>
      <c r="F20">
        <v>240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-8</v>
      </c>
      <c r="P20">
        <v>0</v>
      </c>
      <c r="Q20">
        <v>20</v>
      </c>
      <c r="R20">
        <v>0</v>
      </c>
      <c r="S20">
        <v>0</v>
      </c>
      <c r="T20">
        <v>0</v>
      </c>
      <c r="U20">
        <v>10</v>
      </c>
      <c r="V20">
        <v>1800</v>
      </c>
      <c r="X20">
        <f>=E20+F20</f>
      </c>
      <c r="Y20">
        <f>=G20+H20</f>
      </c>
      <c r="Z20">
        <f>=X20+Y20</f>
      </c>
    </row>
    <row r="21">
      <c r="A21" t="str">
        <v>蓬松梦境</v>
      </c>
      <c r="B21" t="str">
        <v>消耗品_酒水.xml</v>
      </c>
      <c r="C21">
        <v>14</v>
      </c>
      <c r="D21" t="str">
        <v>meal</v>
      </c>
      <c r="E21">
        <v>140</v>
      </c>
      <c r="F21">
        <v>240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-8</v>
      </c>
      <c r="P21">
        <v>0</v>
      </c>
      <c r="Q21">
        <v>20</v>
      </c>
      <c r="R21">
        <v>0</v>
      </c>
      <c r="S21">
        <v>0</v>
      </c>
      <c r="T21">
        <v>0</v>
      </c>
      <c r="U21">
        <v>10</v>
      </c>
      <c r="V21">
        <v>1800</v>
      </c>
      <c r="X21">
        <f>=E21+F21</f>
      </c>
      <c r="Y21">
        <f>=G21+H21</f>
      </c>
      <c r="Z21">
        <f>=X21+Y21</f>
      </c>
    </row>
    <row r="22">
      <c r="A22" t="str">
        <v>钴蓝天鹅绒</v>
      </c>
      <c r="B22" t="str">
        <v>消耗品_酒水.xml</v>
      </c>
      <c r="C22">
        <v>22</v>
      </c>
      <c r="D22" t="str">
        <v>meal</v>
      </c>
      <c r="E22">
        <v>220</v>
      </c>
      <c r="F22">
        <v>400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-10</v>
      </c>
      <c r="P22">
        <v>0</v>
      </c>
      <c r="Q22">
        <v>30</v>
      </c>
      <c r="R22">
        <v>0</v>
      </c>
      <c r="S22">
        <v>0</v>
      </c>
      <c r="T22">
        <v>0</v>
      </c>
      <c r="U22">
        <v>15</v>
      </c>
      <c r="V22">
        <v>1800</v>
      </c>
      <c r="X22">
        <f>=E22+F22</f>
      </c>
      <c r="Y22">
        <f>=G22+H22</f>
      </c>
      <c r="Z22">
        <f>=X22+Y22</f>
      </c>
    </row>
    <row r="23">
      <c r="A23" t="str">
        <v>边缘织者</v>
      </c>
      <c r="B23" t="str">
        <v>消耗品_酒水.xml</v>
      </c>
      <c r="C23">
        <v>22</v>
      </c>
      <c r="D23" t="str">
        <v>meal</v>
      </c>
      <c r="E23">
        <v>220</v>
      </c>
      <c r="F23">
        <v>400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-10</v>
      </c>
      <c r="P23">
        <v>0</v>
      </c>
      <c r="Q23">
        <v>30</v>
      </c>
      <c r="R23">
        <v>0</v>
      </c>
      <c r="S23">
        <v>0</v>
      </c>
      <c r="T23">
        <v>0</v>
      </c>
      <c r="U23">
        <v>15</v>
      </c>
      <c r="V23">
        <v>1800</v>
      </c>
      <c r="X23">
        <f>=E23+F23</f>
      </c>
      <c r="Y23">
        <f>=G23+H23</f>
      </c>
      <c r="Z23">
        <f>=X23+Y23</f>
      </c>
    </row>
    <row r="24">
      <c r="A24" t="str">
        <v>扎啤</v>
      </c>
      <c r="B24" t="str">
        <v>消耗品_酒水.xml</v>
      </c>
      <c r="C24">
        <v>22</v>
      </c>
      <c r="D24" t="str">
        <v>meal</v>
      </c>
      <c r="E24">
        <v>220</v>
      </c>
      <c r="F24">
        <v>400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-10</v>
      </c>
      <c r="P24">
        <v>0</v>
      </c>
      <c r="Q24">
        <v>30</v>
      </c>
      <c r="R24">
        <v>0</v>
      </c>
      <c r="S24">
        <v>0</v>
      </c>
      <c r="T24">
        <v>0</v>
      </c>
      <c r="U24">
        <v>15</v>
      </c>
      <c r="V24">
        <v>1800</v>
      </c>
      <c r="X24">
        <f>=E24+F24</f>
      </c>
      <c r="Y24">
        <f>=G24+H24</f>
      </c>
      <c r="Z24">
        <f>=X24+Y24</f>
      </c>
    </row>
    <row r="25">
      <c r="A25" t="str">
        <v>泡沫水</v>
      </c>
      <c r="B25" t="str">
        <v>消耗品_酒水.xml</v>
      </c>
      <c r="C25">
        <v>10</v>
      </c>
      <c r="D25" t="str">
        <v>meal</v>
      </c>
      <c r="E25">
        <v>100</v>
      </c>
      <c r="F25">
        <v>160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-8</v>
      </c>
      <c r="P25">
        <v>0</v>
      </c>
      <c r="Q25">
        <v>15</v>
      </c>
      <c r="R25">
        <v>0</v>
      </c>
      <c r="S25">
        <v>0</v>
      </c>
      <c r="T25">
        <v>0</v>
      </c>
      <c r="U25">
        <v>8</v>
      </c>
      <c r="V25">
        <v>1800</v>
      </c>
      <c r="X25">
        <f>=E25+F25</f>
      </c>
      <c r="Y25">
        <f>=G25+H25</f>
      </c>
      <c r="Z25">
        <f>=X25+Y25</f>
      </c>
    </row>
    <row r="26">
      <c r="A26" t="str">
        <v>过肩摔</v>
      </c>
      <c r="B26" t="str">
        <v>消耗品_酒水.xml</v>
      </c>
      <c r="C26">
        <v>22</v>
      </c>
      <c r="D26" t="str">
        <v>meal</v>
      </c>
      <c r="E26">
        <v>220</v>
      </c>
      <c r="F26">
        <v>400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-10</v>
      </c>
      <c r="P26">
        <v>0</v>
      </c>
      <c r="Q26">
        <v>30</v>
      </c>
      <c r="R26">
        <v>0</v>
      </c>
      <c r="S26">
        <v>0</v>
      </c>
      <c r="T26">
        <v>0</v>
      </c>
      <c r="U26">
        <v>15</v>
      </c>
      <c r="V26">
        <v>1800</v>
      </c>
      <c r="X26">
        <f>=E26+F26</f>
      </c>
      <c r="Y26">
        <f>=G26+H26</f>
      </c>
      <c r="Z26">
        <f>=X26+Y26</f>
      </c>
    </row>
    <row r="27">
      <c r="A27" t="str">
        <v>打桩机</v>
      </c>
      <c r="B27" t="str">
        <v>消耗品_酒水.xml</v>
      </c>
      <c r="C27">
        <v>22</v>
      </c>
      <c r="D27" t="str">
        <v>meal</v>
      </c>
      <c r="E27">
        <v>220</v>
      </c>
      <c r="F27">
        <v>400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-10</v>
      </c>
      <c r="P27">
        <v>0</v>
      </c>
      <c r="Q27">
        <v>30</v>
      </c>
      <c r="R27">
        <v>0</v>
      </c>
      <c r="S27">
        <v>0</v>
      </c>
      <c r="T27">
        <v>0</v>
      </c>
      <c r="U27">
        <v>15</v>
      </c>
      <c r="V27">
        <v>1800</v>
      </c>
      <c r="X27">
        <f>=E27+F27</f>
      </c>
      <c r="Y27">
        <f>=G27+H27</f>
      </c>
      <c r="Z27">
        <f>=X27+Y27</f>
      </c>
    </row>
    <row r="28">
      <c r="A28" t="str">
        <v>灰熊圣殿</v>
      </c>
      <c r="B28" t="str">
        <v>消耗品_酒水.xml</v>
      </c>
      <c r="C28">
        <v>22</v>
      </c>
      <c r="D28" t="str">
        <v>meal</v>
      </c>
      <c r="E28">
        <v>220</v>
      </c>
      <c r="F28">
        <v>400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-10</v>
      </c>
      <c r="P28">
        <v>0</v>
      </c>
      <c r="Q28">
        <v>30</v>
      </c>
      <c r="R28">
        <v>0</v>
      </c>
      <c r="S28">
        <v>0</v>
      </c>
      <c r="T28">
        <v>0</v>
      </c>
      <c r="U28">
        <v>15</v>
      </c>
      <c r="V28">
        <v>1800</v>
      </c>
      <c r="X28">
        <f>=E28+F28</f>
      </c>
      <c r="Y28">
        <f>=G28+H28</f>
      </c>
      <c r="Z28">
        <f>=X28+Y28</f>
      </c>
    </row>
    <row r="29">
      <c r="A29" t="str">
        <v>击腹重拳</v>
      </c>
      <c r="B29" t="str">
        <v>消耗品_酒水.xml</v>
      </c>
      <c r="C29">
        <v>14</v>
      </c>
      <c r="D29" t="str">
        <v>meal</v>
      </c>
      <c r="E29">
        <v>140</v>
      </c>
      <c r="F29">
        <v>240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-8</v>
      </c>
      <c r="P29">
        <v>0</v>
      </c>
      <c r="Q29">
        <v>20</v>
      </c>
      <c r="R29">
        <v>0</v>
      </c>
      <c r="S29">
        <v>0</v>
      </c>
      <c r="T29">
        <v>0</v>
      </c>
      <c r="U29">
        <v>10</v>
      </c>
      <c r="V29">
        <v>1800</v>
      </c>
      <c r="X29">
        <f>=E29+F29</f>
      </c>
      <c r="Y29">
        <f>=G29+H29</f>
      </c>
      <c r="Z29">
        <f>=X29+Y29</f>
      </c>
    </row>
    <row r="30">
      <c r="A30" t="str">
        <v>阳光云</v>
      </c>
      <c r="B30" t="str">
        <v>消耗品_酒水.xml</v>
      </c>
      <c r="C30">
        <v>10</v>
      </c>
      <c r="D30" t="str">
        <v>meal</v>
      </c>
      <c r="E30">
        <v>100</v>
      </c>
      <c r="F30">
        <v>160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-8</v>
      </c>
      <c r="P30">
        <v>0</v>
      </c>
      <c r="Q30">
        <v>15</v>
      </c>
      <c r="R30">
        <v>0</v>
      </c>
      <c r="S30">
        <v>0</v>
      </c>
      <c r="T30">
        <v>0</v>
      </c>
      <c r="U30">
        <v>8</v>
      </c>
      <c r="V30">
        <v>1800</v>
      </c>
      <c r="X30">
        <f>=E30+F30</f>
      </c>
      <c r="Y30">
        <f>=G30+H30</f>
      </c>
      <c r="Z30">
        <f>=X30+Y30</f>
      </c>
    </row>
    <row r="31">
      <c r="A31" t="str">
        <v>&lt;在此粘贴其余药剂行&gt;</v>
      </c>
      <c r="B31" t="str">
        <v/>
      </c>
      <c r="C31" t="str">
        <v/>
      </c>
      <c r="D31" t="str">
        <v/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X31">
        <f>=E31+F31</f>
      </c>
      <c r="Y31">
        <f>=G31+H31</f>
      </c>
      <c r="Z31">
        <f>=X31+Y31</f>
      </c>
    </row>
  </sheetData>
  <ignoredErrors>
    <ignoredError numberStoredAsText="1" sqref="A1:A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药剂v2_草案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