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78FC2725-28AC-4D1F-8FD2-A5E9E4F1A460}" xr6:coauthVersionLast="47" xr6:coauthVersionMax="47" xr10:uidLastSave="{00000000-0000-0000-0000-000000000000}"/>
  <bookViews>
    <workbookView xWindow="-110" yWindow="-110" windowWidth="25820" windowHeight="13900" tabRatio="651" activeTab="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T15" i="10" l="1"/>
  <c r="S15" i="10"/>
  <c r="P15" i="10"/>
  <c r="Q15" i="10" s="1"/>
  <c r="O15" i="10" s="1"/>
  <c r="T14" i="10"/>
  <c r="S14" i="10"/>
  <c r="T4" i="14"/>
  <c r="T5" i="14"/>
  <c r="T6" i="14"/>
  <c r="T7" i="14"/>
  <c r="T8" i="14"/>
  <c r="T3" i="14"/>
  <c r="S4" i="14"/>
  <c r="S5" i="14"/>
  <c r="S6" i="14"/>
  <c r="S7" i="14"/>
  <c r="S8" i="14"/>
  <c r="S3" i="14"/>
  <c r="U4" i="14"/>
  <c r="U5" i="14"/>
  <c r="V5" i="14" s="1"/>
  <c r="U6" i="14"/>
  <c r="V6" i="14" s="1"/>
  <c r="U7" i="14"/>
  <c r="V7" i="14" s="1"/>
  <c r="U8" i="14"/>
  <c r="V8" i="14" s="1"/>
  <c r="V4" i="14"/>
  <c r="U3" i="14"/>
  <c r="V3" i="14" s="1"/>
  <c r="O8" i="14"/>
  <c r="O3" i="14"/>
  <c r="O4" i="14"/>
  <c r="O5" i="14"/>
  <c r="O6" i="14"/>
  <c r="O7" i="14"/>
  <c r="P4" i="14"/>
  <c r="P8" i="14"/>
  <c r="P5" i="14"/>
  <c r="P6" i="14"/>
  <c r="P7" i="14"/>
  <c r="P3" i="14"/>
  <c r="M3" i="14"/>
  <c r="N3" i="14"/>
  <c r="Q3" i="14"/>
  <c r="R3" i="14"/>
  <c r="M4" i="14"/>
  <c r="N4" i="14"/>
  <c r="Q4" i="14"/>
  <c r="R4" i="14"/>
  <c r="M5" i="14"/>
  <c r="N5" i="14"/>
  <c r="Q5" i="14"/>
  <c r="R5" i="14"/>
  <c r="M6" i="14"/>
  <c r="N6" i="14"/>
  <c r="Q6" i="14"/>
  <c r="R6" i="14"/>
  <c r="M7" i="14"/>
  <c r="N7" i="14"/>
  <c r="Q7" i="14"/>
  <c r="R7" i="14"/>
  <c r="N8" i="14"/>
  <c r="R8" i="14"/>
  <c r="Q8" i="14"/>
  <c r="M8" i="14"/>
  <c r="F110" i="7"/>
  <c r="F111" i="7"/>
  <c r="F112" i="7"/>
  <c r="M6" i="13"/>
  <c r="M4" i="13"/>
  <c r="M5" i="13"/>
  <c r="M3" i="13"/>
  <c r="L14" i="13"/>
  <c r="L15" i="13"/>
  <c r="L22" i="13"/>
  <c r="L19" i="13"/>
  <c r="O32" i="13"/>
  <c r="K13" i="3"/>
  <c r="K12" i="3"/>
  <c r="P10" i="10" l="1"/>
  <c r="O30" i="13"/>
  <c r="O31" i="13"/>
  <c r="O27" i="13"/>
  <c r="O28" i="13"/>
  <c r="O29"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4" i="13"/>
  <c r="O5" i="13"/>
  <c r="O6" i="13"/>
  <c r="O3" i="13"/>
  <c r="O26" i="13"/>
  <c r="P26" i="13" s="1"/>
  <c r="L16" i="13"/>
  <c r="L17" i="13"/>
  <c r="L18" i="13"/>
  <c r="L20" i="13"/>
  <c r="L21" i="13"/>
  <c r="L13" i="13"/>
  <c r="M13" i="13" s="1"/>
  <c r="Q25" i="11"/>
  <c r="Q26" i="11"/>
  <c r="Q24" i="11"/>
  <c r="Q23" i="11"/>
  <c r="M14" i="13" l="1"/>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<sst xmlns="http://schemas.openxmlformats.org/spreadsheetml/2006/main" count="729" uniqueCount="498">
  <si>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</si>
  <si>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</si>
  <si>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</si>
  <si>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</si>
  <si>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</si>
  <si>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</si>
  <si>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</si>
  <si>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</si>
  <si>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</si>
  <si>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</si>
  <si>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</si>
  <si>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</si>
  <si>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</si>
  <si>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</si>
  <si>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</si>
  <si>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</si>
  <si>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</si>
  <si>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</si>
  <si>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</si>
  <si>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</si>
  <si>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</si>
  <si>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</si>
  <si>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</si>
  <si>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</si>
  <si>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</si>
  <si>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</si>
  <si>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</si>
  <si>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</si>
  <si>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</si>
  <si>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</si>
  <si>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</si>
  <si>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</si>
  <si>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</si>
  <si>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</si>
  <si>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</si>
  <si>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</si>
  <si>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</si>
  <si>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</si>
  <si>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</si>
  <si>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</si>
  <si>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</si>
  <si>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</si>
  <si>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</si>
  <si>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</si>
  <si>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</si>
  <si>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</si>
  <si>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</si>
  <si>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</si>
  <si>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</si>
  <si>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</si>
  <si>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</si>
  <si>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</si>
  <si>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</si>
  <si>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</si>
  <si>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</si>
  <si>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</si>
  <si>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</si>
  <si>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</si>
  <si>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</si>
  <si>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</si>
  <si>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</si>
  <si>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</si>
  <si>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</si>
  <si>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</si>
  <si>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</si>
  <si>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</si>
  <si>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</si>
  <si>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</si>
  <si>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</si>
  <si>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</si>
  <si>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</si>
  <si>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</si>
  <si>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</si>
  <si>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</si>
  <si>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</si>
  <si>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</si>
  <si>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</si>
  <si>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</si>
  <si>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</si>
  <si>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</si>
  <si>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</si>
  <si>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</si>
  <si>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</si>
  <si>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</si>
  <si>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</si>
  <si>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</si>
  <si>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</si>
  <si>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</si>
  <si>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</si>
  <si>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</si>
  <si>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</si>
  <si>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</si>
  <si>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</si>
  <si>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</si>
  <si>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</si>
  <si>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</si>
  <si>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</si>
  <si>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</si>
  <si>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</si>
  <si>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</si>
  <si>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</si>
  <si>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</si>
  <si>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</si>
  <si>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</si>
  <si>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</si>
  <si>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</si>
  <si>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</si>
  <si>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</si>
  <si>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</si>
  <si>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</si>
  <si>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</si>
  <si>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</si>
  <si>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</si>
  <si>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</si>
  <si>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</si>
  <si>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</si>
  <si>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</si>
  <si>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</si>
  <si>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</si>
  <si>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</si>
  <si>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</si>
  <si>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</si>
  <si>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</si>
  <si>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</si>
  <si>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</si>
  <si>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</si>
  <si>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</si>
  <si>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</si>
  <si>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</si>
  <si>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</si>
  <si>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</si>
  <si>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</si>
  <si>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</si>
  <si>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</si>
  <si>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</si>
  <si>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</si>
  <si>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</si>
  <si>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</si>
  <si>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</si>
  <si>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</si>
  <si>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</si>
  <si>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</si>
  <si>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</si>
  <si>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</si>
  <si>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</si>
  <si>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</si>
  <si>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</si>
  <si>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</si>
  <si>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</si>
  <si>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</si>
  <si>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</si>
  <si>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</si>
  <si>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</si>
  <si>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</si>
  <si>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</si>
  <si>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</si>
  <si>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</si>
  <si>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</si>
  <si>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</si>
  <si>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</si>
  <si>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</si>
  <si>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</si>
  <si>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</si>
  <si>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</si>
  <si>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</si>
  <si>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</si>
  <si>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</si>
  <si>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</si>
  <si>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</si>
  <si>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</si>
  <si>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</si>
  <si>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</si>
  <si>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</si>
  <si>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</si>
  <si>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</si>
  <si>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</si>
  <si>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</si>
  <si>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</si>
  <si>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</si>
  <si>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</si>
  <si>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</si>
  <si>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</si>
  <si>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</si>
  <si>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</si>
  <si>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</si>
  <si>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</si>
  <si>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</si>
  <si>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</si>
  <si>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</si>
  <si>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</si>
  <si>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</si>
  <si>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</si>
  <si>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</si>
  <si>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</si>
  <si>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</si>
  <si>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</si>
  <si>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</si>
  <si>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</si>
  <si>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</si>
  <si>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</si>
  <si>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</si>
  <si>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</si>
  <si>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</si>
  <si>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</si>
  <si>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</si>
  <si>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</si>
  <si>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</si>
  <si>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</si>
  <si>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</si>
  <si>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</si>
  <si>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</si>
  <si>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</si>
  <si>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</si>
  <si>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</si>
  <si>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</si>
  <si>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</si>
  <si>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</si>
  <si>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</si>
  <si>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</si>
  <si>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</si>
  <si>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</si>
  <si>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</si>
  <si>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</si>
  <si>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</si>
  <si>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</si>
  <si>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</si>
  <si>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</si>
  <si>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</si>
  <si>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</si>
  <si>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</si>
  <si>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</si>
  <si>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</si>
  <si>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</si>
  <si>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</si>
  <si>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</si>
  <si>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</si>
  <si>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</si>
  <si>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</si>
  <si>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</si>
  <si>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</si>
  <si>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</si>
  <si>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</si>
  <si>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</si>
  <si>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</si>
  <si>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</si>
  <si>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</si>
  <si>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</si>
  <si>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</si>
  <si>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</si>
  <si>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</si>
  <si>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</si>
  <si>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</si>
  <si>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</si>
  <si>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</si>
  <si>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</si>
  <si>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</si>
  <si>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</si>
  <si>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</si>
  <si>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</si>
  <si>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</si>
  <si>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</si>
  <si>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</si>
  <si>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</si>
  <si>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</si>
  <si>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</si>
  <si>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</si>
  <si>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</si>
  <si>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</si>
  <si>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</si>
  <si>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</si>
  <si>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</si>
  <si>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</si>
  <si>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</si>
  <si>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</si>
  <si>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</si>
  <si>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</si>
  <si>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</si>
  <si>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</si>
  <si>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</si>
  <si>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</si>
  <si>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</si>
  <si>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</si>
  <si>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</si>
  <si>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</si>
  <si>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</si>
  <si>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</si>
  <si>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</si>
  <si>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</si>
  <si>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</si>
  <si>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</si>
  <si>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</si>
  <si>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</si>
  <si>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</si>
  <si>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</si>
  <si>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</si>
  <si>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</si>
  <si>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</si>
  <si>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</si>
  <si>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</si>
  <si>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</si>
  <si>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</si>
  <si>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</si>
  <si>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</si>
  <si>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</si>
  <si>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</si>
  <si>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</si>
  <si>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</si>
  <si>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</si>
  <si>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</si>
  <si>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</si>
  <si>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</si>
  <si>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</si>
  <si>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</si>
  <si>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</si>
  <si>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</si>
  <si>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</si>
  <si>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</si>
  <si>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</si>
  <si>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</si>
  <si>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</si>
  <si>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</si>
  <si>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</si>
  <si>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</si>
  <si>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</si>
  <si>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</si>
  <si>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</si>
  <si>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</si>
  <si>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</si>
  <si>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</si>
  <si>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</si>
  <si>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</si>
  <si>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</si>
  <si>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</si>
  <si>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</si>
  <si>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</si>
  <si>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</si>
  <si>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</si>
  <si>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</si>
  <si>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</si>
  <si>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</si>
  <si>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</si>
  <si>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</si>
  <si>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</si>
  <si>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</si>
  <si>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</si>
  <si>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</si>
  <si>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</si>
  <si>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</si>
  <si>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</si>
  <si>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</si>
  <si>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</si>
  <si>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</si>
  <si>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</si>
  <si>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</si>
  <si>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</si>
  <si>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</si>
  <si>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</si>
  <si>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</si>
  <si>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</si>
  <si>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</si>
  <si>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</si>
  <si>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</si>
  <si>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</si>
  <si>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</si>
  <si>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</si>
  <si>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</si>
  <si>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</si>
  <si>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</si>
  <si>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</si>
  <si>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</si>
  <si>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</si>
  <si>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</si>
  <si>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</si>
  <si>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</si>
  <si>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</si>
  <si>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</si>
  <si>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</si>
  <si>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</si>
  <si>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</si>
  <si>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</si>
  <si>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</si>
  <si>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</si>
  <si>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</si>
  <si>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</si>
  <si>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</si>
  <si>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</si>
  <si>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</si>
  <si>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</si>
  <si>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</si>
  <si>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</si>
  <si>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</si>
  <si>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</si>
  <si>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</si>
  <si>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</si>
  <si>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</si>
  <si>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</si>
  <si>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</si>
  <si>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</si>
  <si>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</si>
  <si>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</si>
  <si>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</si>
  <si>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</si>
  <si>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</si>
  <si>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</si>
  <si>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</si>
  <si>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</si>
  <si>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</si>
  <si>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</si>
  <si>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</si>
  <si>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</si>
  <si>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</si>
  <si>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</si>
  <si>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</si>
  <si>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</si>
  <si>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</si>
  <si>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</si>
  <si>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</si>
  <si>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</si>
  <si>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</si>
  <si>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</si>
  <si>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</si>
  <si>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</si>
  <si>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</si>
  <si>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</si>
  <si>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</si>
  <si>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</si>
  <si>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</si>
  <si>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</si>
  <si>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</si>
  <si>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</si>
  <si>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</si>
  <si>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</si>
  <si>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</si>
  <si>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</si>
  <si>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</si>
  <si>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</si>
  <si>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</si>
  <si>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</si>
  <si>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</si>
  <si>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</si>
  <si>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</si>
  <si>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</si>
  <si>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</si>
  <si>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</si>
  <si>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</si>
  <si>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</si>
  <si>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</si>
  <si>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</si>
  <si>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</si>
  <si>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</si>
  <si>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</si>
  <si>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</si>
  <si>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</si>
  <si>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</si>
  <si>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</si>
  <si>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</si>
  <si>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</si>
  <si>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</si>
  <si>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</si>
  <si>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</si>
  <si>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</si>
  <si>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</si>
  <si>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</si>
  <si>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</si>
  <si>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</si>
  <si>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</si>
  <si>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</si>
  <si>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</si>
  <si>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</si>
  <si>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</si>
  <si>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</si>
  <si>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</si>
  <si>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</si>
  <si>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</si>
  <si>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</si>
  <si>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</si>
  <si>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</si>
  <si>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</si>
  <si>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</si>
  <si>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</si>
  <si>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</si>
  <si>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</si>
  <si>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boss大僵尸</t>
    <phoneticPr fontId="1" type="noConversion"/>
  </si>
  <si>
    <t>方舟武士</t>
    <phoneticPr fontId="1" type="noConversion"/>
  </si>
  <si>
    <t>对应阶段和档次系数参考下方表格。这两项将决定整体数值大致水平。对于拥有暖机、强力buff、多阶段等显著影响面板的特殊机制单位可能不适用。</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</si>
  <si>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</si>
  <si>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</si>
  <si>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</si>
  <si>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</si>
  <si>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</si>
  <si>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</si>
  <si>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</si>
  <si>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</si>
  <si>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</si>
  <si>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机枪的弹容量种族优势可额外换2-4层级，对应种族价格系数，可叠加武器价格层级。穿刺枪的种族优势为群攻，散弹的种族优势为吃拐率，不反映在面板上，所以无额外加权层级。</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</si>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</sst>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xf numFmtId="0"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C31" sqref="C31"/>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376</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377</v>
      </c>
      <c r="AA2" s="14" t="s">
        <v>378</v>
      </c>
      <c r="AB2" s="14" t="s">
        <v>379</v>
      </c>
      <c r="AC2" s="14" t="s">
        <v>380</v>
      </c>
      <c r="AD2" s="14" t="s">
        <v>385</v>
      </c>
      <c r="AE2" s="14" t="s">
        <v>384</v>
      </c>
      <c r="AF2" s="14" t="s">
        <v>386</v>
      </c>
      <c r="AG2" s="14" t="s">
        <v>381</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375</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382</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494</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383</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tabSelected="1"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401</v>
      </c>
      <c r="J2" s="8" t="s">
        <v>170</v>
      </c>
      <c r="K2" s="8" t="s">
        <v>171</v>
      </c>
      <c r="L2" s="8" t="s">
        <v>172</v>
      </c>
      <c r="M2" s="8" t="s">
        <v>12</v>
      </c>
      <c r="N2" s="11" t="s">
        <v>152</v>
      </c>
      <c r="O2" s="14" t="s">
        <v>173</v>
      </c>
      <c r="P2" s="14" t="s">
        <v>174</v>
      </c>
      <c r="Q2" s="14" t="s">
        <v>175</v>
      </c>
      <c r="R2" s="11" t="s">
        <v>154</v>
      </c>
      <c r="S2" s="14" t="s">
        <v>402</v>
      </c>
      <c r="T2" s="14" t="s">
        <v>403</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406</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496</v>
      </c>
      <c r="E12" s="3"/>
      <c r="F12" s="3"/>
      <c r="G12" s="3"/>
      <c r="H12" s="3"/>
      <c r="I12" s="3"/>
      <c r="J12" s="3"/>
      <c r="K12" s="3"/>
      <c r="L12" s="3"/>
      <c r="M12" s="3"/>
    </row>
    <row r="13" spans="1:20" x14ac:dyDescent="0.3">
      <c r="B13" s="3"/>
      <c r="C13" s="2"/>
      <c r="D13" s="2" t="s">
        <v>497</v>
      </c>
      <c r="E13" s="3"/>
      <c r="F13" s="3"/>
      <c r="G13" s="3"/>
      <c r="H13" s="3"/>
      <c r="I13" s="3"/>
      <c r="J13" s="3"/>
      <c r="K13" s="3"/>
      <c r="L13" s="3"/>
      <c r="M13" s="3"/>
    </row>
    <row r="14" spans="1:20" x14ac:dyDescent="0.3">
      <c r="B14" s="3"/>
      <c r="C14" s="2"/>
      <c r="D14" s="2"/>
      <c r="E14" s="3"/>
      <c r="F14" s="3"/>
      <c r="G14" s="3"/>
      <c r="H14" s="3"/>
      <c r="I14" s="3"/>
      <c r="J14" s="3"/>
      <c r="K14" s="3"/>
      <c r="L14" s="3"/>
      <c r="M14" s="3"/>
      <c r="S14" s="51">
        <f>10+表2_2[[#This Row],[限制等级]]*0.2</f>
        <v>10</v>
      </c>
      <c r="T14" s="51">
        <f>25+表2_2[[#This Row],[限制等级]]*0.2</f>
        <v>25</v>
      </c>
    </row>
    <row r="15" spans="1:20" x14ac:dyDescent="0.3">
      <c r="B15" s="2" t="s">
        <v>495</v>
      </c>
      <c r="C15" s="1" t="s">
        <v>177</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194</v>
      </c>
      <c r="C17" t="s">
        <v>195</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260</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236</v>
      </c>
      <c r="D20" s="2" t="s">
        <v>405</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192</v>
      </c>
    </row>
    <row r="23" spans="2:20" x14ac:dyDescent="0.3">
      <c r="B23" s="3"/>
      <c r="C23" t="s">
        <v>207</v>
      </c>
    </row>
    <row r="24" spans="2:20" x14ac:dyDescent="0.3">
      <c r="B24" s="3"/>
    </row>
    <row r="25" spans="2:20" x14ac:dyDescent="0.3">
      <c r="B25" s="4" t="s">
        <v>41</v>
      </c>
      <c r="C25" t="s">
        <v>324</v>
      </c>
    </row>
    <row r="26" spans="2:20" x14ac:dyDescent="0.3">
      <c r="C26" t="s">
        <v>199</v>
      </c>
    </row>
    <row r="27" spans="2:20" x14ac:dyDescent="0.3">
      <c r="C27" t="s">
        <v>48</v>
      </c>
    </row>
    <row r="28" spans="2:20" x14ac:dyDescent="0.3">
      <c r="C28" t="s">
        <v>182</v>
      </c>
    </row>
    <row r="29" spans="2:20" x14ac:dyDescent="0.3">
      <c r="C29" t="s">
        <v>323</v>
      </c>
    </row>
    <row r="30" spans="2:20" x14ac:dyDescent="0.3">
      <c r="C30" t="s">
        <v>193</v>
      </c>
    </row>
    <row r="31" spans="2:20" x14ac:dyDescent="0.3">
      <c r="C31" t="s">
        <v>404</v>
      </c>
    </row>
    <row r="32" spans="2:20" x14ac:dyDescent="0.3">
      <c r="C32" t="s">
        <v>325</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407</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408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374</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373</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371</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G26" sqref="G2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430</v>
      </c>
      <c r="E2" s="33" t="s">
        <v>239</v>
      </c>
      <c r="F2" s="33" t="s">
        <v>240</v>
      </c>
      <c r="G2" s="33" t="s">
        <v>338</v>
      </c>
      <c r="H2" s="33" t="s">
        <v>356</v>
      </c>
      <c r="I2" s="33" t="s">
        <v>94</v>
      </c>
      <c r="J2" s="33" t="s">
        <v>357</v>
      </c>
      <c r="K2" s="33" t="s">
        <v>339</v>
      </c>
      <c r="M2" s="35" t="s">
        <v>337</v>
      </c>
      <c r="O2" s="35" t="s">
        <v>336</v>
      </c>
    </row>
    <row r="3" spans="3:15" x14ac:dyDescent="0.3">
      <c r="C3" t="s">
        <v>335</v>
      </c>
      <c r="D3" s="34">
        <v>1.5</v>
      </c>
      <c r="E3" s="27">
        <v>1.5</v>
      </c>
      <c r="F3" s="27">
        <v>1.5</v>
      </c>
      <c r="G3" s="45">
        <v>20000</v>
      </c>
      <c r="H3" s="27">
        <v>22000</v>
      </c>
      <c r="I3" s="27">
        <v>20000</v>
      </c>
      <c r="J3" s="45">
        <v>0</v>
      </c>
      <c r="K3" s="27">
        <v>0</v>
      </c>
      <c r="M3" s="45">
        <f>G3+H3*0.5+I3/D3+IF(D3&gt;4,K3*300/(D3-2.5),K3*300)+J3*0.5</f>
        <v>44333.333333333336</v>
      </c>
      <c r="O3" s="45">
        <f>(D3*13000*E3*F3)</f>
        <v>43875</v>
      </c>
    </row>
    <row r="4" spans="3:15" x14ac:dyDescent="0.3">
      <c r="C4" t="s">
        <v>355</v>
      </c>
      <c r="D4" s="34">
        <v>4</v>
      </c>
      <c r="E4" s="27">
        <v>2</v>
      </c>
      <c r="F4" s="27">
        <v>1.5</v>
      </c>
      <c r="G4" s="45">
        <v>50000</v>
      </c>
      <c r="H4" s="27">
        <v>10000</v>
      </c>
      <c r="I4" s="27">
        <v>60000</v>
      </c>
      <c r="J4" s="45">
        <v>0</v>
      </c>
      <c r="K4" s="27">
        <v>300</v>
      </c>
      <c r="M4" s="45">
        <f t="shared" ref="M4:M6" si="0">G4+H4*0.5+I4/D4+IF(D4&gt;4,K4*300/(D4-2.5),K4*300)+J4*0.5</f>
        <v>160000</v>
      </c>
      <c r="O4" s="45">
        <f t="shared" ref="O4:O6" si="1">(D4*13000*E4*F4)</f>
        <v>156000</v>
      </c>
    </row>
    <row r="5" spans="3:15" x14ac:dyDescent="0.3">
      <c r="C5" t="s">
        <v>359</v>
      </c>
      <c r="D5" s="34">
        <v>4</v>
      </c>
      <c r="E5" s="27">
        <v>2</v>
      </c>
      <c r="F5" s="27">
        <v>2</v>
      </c>
      <c r="G5" s="45">
        <v>50000</v>
      </c>
      <c r="H5" s="27">
        <v>4000</v>
      </c>
      <c r="I5" s="27">
        <v>50000</v>
      </c>
      <c r="J5" s="45">
        <v>260000</v>
      </c>
      <c r="K5" s="27">
        <v>0</v>
      </c>
      <c r="M5" s="45">
        <f t="shared" si="0"/>
        <v>194500</v>
      </c>
      <c r="O5" s="45">
        <f t="shared" si="1"/>
        <v>208000</v>
      </c>
    </row>
    <row r="6" spans="3:15" x14ac:dyDescent="0.3">
      <c r="C6" s="1" t="s">
        <v>334</v>
      </c>
      <c r="D6" s="36">
        <v>1</v>
      </c>
      <c r="E6" s="37">
        <v>1</v>
      </c>
      <c r="F6" s="37">
        <v>1</v>
      </c>
      <c r="G6" s="37">
        <v>0</v>
      </c>
      <c r="H6" s="37">
        <v>0</v>
      </c>
      <c r="I6" s="37">
        <v>0</v>
      </c>
      <c r="J6" s="37">
        <v>0</v>
      </c>
      <c r="K6" s="37">
        <v>0</v>
      </c>
      <c r="M6" s="40">
        <f t="shared" si="0"/>
        <v>0</v>
      </c>
      <c r="O6" s="40">
        <f t="shared" si="1"/>
        <v>13000</v>
      </c>
    </row>
    <row r="8" spans="3:15" x14ac:dyDescent="0.3">
      <c r="C8" s="24" t="s">
        <v>236</v>
      </c>
      <c r="D8" s="2" t="s">
        <v>431</v>
      </c>
    </row>
    <row r="9" spans="3:15" x14ac:dyDescent="0.3">
      <c r="D9" s="2" t="s">
        <v>372</v>
      </c>
    </row>
    <row r="10" spans="3:15" x14ac:dyDescent="0.3">
      <c r="D10" s="2" t="s">
        <v>358</v>
      </c>
    </row>
    <row r="11" spans="3:15" x14ac:dyDescent="0.3">
      <c r="I11" s="2" t="s">
        <v>360</v>
      </c>
    </row>
    <row r="12" spans="3:15" x14ac:dyDescent="0.3">
      <c r="I12" s="33" t="s">
        <v>340</v>
      </c>
      <c r="J12" s="33" t="s">
        <v>224</v>
      </c>
      <c r="K12" s="33" t="s">
        <v>353</v>
      </c>
      <c r="L12" s="33" t="s">
        <v>354</v>
      </c>
      <c r="M12" s="35" t="s">
        <v>342</v>
      </c>
    </row>
    <row r="13" spans="3:15" x14ac:dyDescent="0.3">
      <c r="D13" s="2" t="s">
        <v>429</v>
      </c>
      <c r="H13" t="s">
        <v>87</v>
      </c>
      <c r="I13" s="46" t="s">
        <v>343</v>
      </c>
      <c r="J13" s="45">
        <v>20</v>
      </c>
      <c r="K13" s="45">
        <v>500</v>
      </c>
      <c r="L13" s="45">
        <f t="shared" ref="L13:L22" si="2">J13*K13</f>
        <v>10000</v>
      </c>
      <c r="M13">
        <f>SUM(L13:L13)</f>
        <v>10000</v>
      </c>
    </row>
    <row r="14" spans="3:15" x14ac:dyDescent="0.3">
      <c r="D14" s="33" t="s">
        <v>410</v>
      </c>
      <c r="E14" s="35" t="s">
        <v>411</v>
      </c>
      <c r="F14" s="33" t="s">
        <v>414</v>
      </c>
      <c r="H14" s="1" t="s">
        <v>363</v>
      </c>
      <c r="I14" s="46" t="s">
        <v>344</v>
      </c>
      <c r="J14" s="45">
        <v>0</v>
      </c>
      <c r="K14" s="45">
        <v>0</v>
      </c>
      <c r="L14" s="45">
        <f t="shared" si="2"/>
        <v>0</v>
      </c>
      <c r="M14" s="40">
        <f>SUM(L14:L22)</f>
        <v>0</v>
      </c>
    </row>
    <row r="15" spans="3:15" x14ac:dyDescent="0.3">
      <c r="D15" t="s">
        <v>409</v>
      </c>
      <c r="E15" s="40">
        <v>1</v>
      </c>
      <c r="I15" s="46" t="s">
        <v>345</v>
      </c>
      <c r="J15" s="45">
        <v>0</v>
      </c>
      <c r="K15" s="45">
        <v>0</v>
      </c>
      <c r="L15" s="45">
        <f t="shared" si="2"/>
        <v>0</v>
      </c>
    </row>
    <row r="16" spans="3:15" x14ac:dyDescent="0.3">
      <c r="D16" t="s">
        <v>412</v>
      </c>
      <c r="E16" s="40">
        <v>2</v>
      </c>
      <c r="I16" s="46" t="s">
        <v>346</v>
      </c>
      <c r="J16" s="45">
        <v>0</v>
      </c>
      <c r="K16" s="45">
        <v>0</v>
      </c>
      <c r="L16" s="45">
        <f t="shared" si="2"/>
        <v>0</v>
      </c>
    </row>
    <row r="17" spans="4:16" x14ac:dyDescent="0.3">
      <c r="D17" t="s">
        <v>413</v>
      </c>
      <c r="E17" s="40">
        <v>3</v>
      </c>
      <c r="I17" s="46" t="s">
        <v>347</v>
      </c>
      <c r="J17" s="45">
        <v>0</v>
      </c>
      <c r="K17" s="45">
        <v>0</v>
      </c>
      <c r="L17" s="45">
        <f t="shared" si="2"/>
        <v>0</v>
      </c>
    </row>
    <row r="18" spans="4:16" x14ac:dyDescent="0.3">
      <c r="D18" t="s">
        <v>415</v>
      </c>
      <c r="E18" s="40">
        <v>4</v>
      </c>
      <c r="F18" t="s">
        <v>426</v>
      </c>
      <c r="I18" s="46" t="s">
        <v>348</v>
      </c>
      <c r="J18" s="45">
        <v>0</v>
      </c>
      <c r="K18" s="45">
        <v>0</v>
      </c>
      <c r="L18" s="45">
        <f t="shared" si="2"/>
        <v>0</v>
      </c>
    </row>
    <row r="19" spans="4:16" x14ac:dyDescent="0.3">
      <c r="D19" t="s">
        <v>416</v>
      </c>
      <c r="E19" s="40">
        <v>5</v>
      </c>
      <c r="F19" t="s">
        <v>423</v>
      </c>
      <c r="I19" s="46" t="s">
        <v>349</v>
      </c>
      <c r="J19" s="45">
        <v>0</v>
      </c>
      <c r="K19" s="45">
        <v>0</v>
      </c>
      <c r="L19" s="45">
        <f t="shared" si="2"/>
        <v>0</v>
      </c>
    </row>
    <row r="20" spans="4:16" x14ac:dyDescent="0.3">
      <c r="D20" t="s">
        <v>417</v>
      </c>
      <c r="E20" s="40">
        <v>6</v>
      </c>
      <c r="F20" t="s">
        <v>425</v>
      </c>
      <c r="I20" s="46" t="s">
        <v>350</v>
      </c>
      <c r="J20" s="45">
        <v>0</v>
      </c>
      <c r="K20" s="45">
        <v>0</v>
      </c>
      <c r="L20" s="45">
        <f t="shared" si="2"/>
        <v>0</v>
      </c>
    </row>
    <row r="21" spans="4:16" x14ac:dyDescent="0.3">
      <c r="D21" t="s">
        <v>418</v>
      </c>
      <c r="E21" s="40">
        <v>7</v>
      </c>
      <c r="F21" t="s">
        <v>424</v>
      </c>
      <c r="I21" s="46" t="s">
        <v>351</v>
      </c>
      <c r="J21" s="45">
        <v>0</v>
      </c>
      <c r="K21" s="45">
        <v>0</v>
      </c>
      <c r="L21" s="45">
        <f t="shared" si="2"/>
        <v>0</v>
      </c>
    </row>
    <row r="22" spans="4:16" x14ac:dyDescent="0.3">
      <c r="D22" t="s">
        <v>419</v>
      </c>
      <c r="E22" s="40">
        <v>8</v>
      </c>
      <c r="I22" s="46" t="s">
        <v>352</v>
      </c>
      <c r="J22" s="45">
        <v>0</v>
      </c>
      <c r="K22" s="45">
        <v>0</v>
      </c>
      <c r="L22" s="45">
        <f t="shared" si="2"/>
        <v>0</v>
      </c>
    </row>
    <row r="23" spans="4:16" x14ac:dyDescent="0.3">
      <c r="D23" t="s">
        <v>428</v>
      </c>
      <c r="E23" s="40">
        <v>9</v>
      </c>
    </row>
    <row r="24" spans="4:16" x14ac:dyDescent="0.3">
      <c r="D24" t="s">
        <v>421</v>
      </c>
      <c r="E24" s="43" t="s">
        <v>422</v>
      </c>
      <c r="I24" s="2" t="s">
        <v>370</v>
      </c>
    </row>
    <row r="25" spans="4:16" x14ac:dyDescent="0.3">
      <c r="I25" s="33" t="s">
        <v>225</v>
      </c>
      <c r="J25" s="33" t="s">
        <v>14</v>
      </c>
      <c r="K25" s="38" t="s">
        <v>36</v>
      </c>
      <c r="L25" s="38" t="s">
        <v>229</v>
      </c>
      <c r="M25" s="38" t="s">
        <v>88</v>
      </c>
      <c r="N25" s="38" t="s">
        <v>224</v>
      </c>
      <c r="O25" s="38" t="s">
        <v>362</v>
      </c>
      <c r="P25" s="39" t="s">
        <v>341</v>
      </c>
    </row>
    <row r="26" spans="4:16" x14ac:dyDescent="0.3">
      <c r="H26" t="s">
        <v>87</v>
      </c>
      <c r="I26" s="46" t="s">
        <v>361</v>
      </c>
      <c r="J26" s="45">
        <v>20</v>
      </c>
      <c r="K26" s="45">
        <v>0</v>
      </c>
      <c r="L26" s="45">
        <v>1.5</v>
      </c>
      <c r="M26" s="34">
        <v>1</v>
      </c>
      <c r="N26" s="45">
        <v>5</v>
      </c>
      <c r="O26" s="45">
        <f>N26 * J26*3900*(1.6)^(K26)*M26/L26</f>
        <v>260000</v>
      </c>
      <c r="P26">
        <f>SUM(O26:O26)</f>
        <v>260000</v>
      </c>
    </row>
    <row r="27" spans="4:16" x14ac:dyDescent="0.3">
      <c r="H27" s="1" t="s">
        <v>364</v>
      </c>
      <c r="I27" s="46" t="s">
        <v>365</v>
      </c>
      <c r="J27" s="45">
        <v>0</v>
      </c>
      <c r="K27" s="45">
        <v>0</v>
      </c>
      <c r="L27" s="45">
        <v>1</v>
      </c>
      <c r="M27" s="34">
        <v>1</v>
      </c>
      <c r="N27" s="45">
        <v>0</v>
      </c>
      <c r="O27" s="45">
        <f t="shared" ref="O27:O29" si="3">N27 * J27*3900*(1.6)^(K27)*M27/L27</f>
        <v>0</v>
      </c>
      <c r="P27" s="40">
        <f>SUM(O27:O32)</f>
        <v>0</v>
      </c>
    </row>
    <row r="28" spans="4:16" x14ac:dyDescent="0.3">
      <c r="I28" s="46" t="s">
        <v>366</v>
      </c>
      <c r="J28" s="45">
        <v>0</v>
      </c>
      <c r="K28" s="45">
        <v>0</v>
      </c>
      <c r="L28" s="45">
        <v>1</v>
      </c>
      <c r="M28" s="34">
        <v>1</v>
      </c>
      <c r="N28" s="45">
        <v>0</v>
      </c>
      <c r="O28" s="45">
        <f t="shared" si="3"/>
        <v>0</v>
      </c>
    </row>
    <row r="29" spans="4:16" x14ac:dyDescent="0.3">
      <c r="I29" s="46" t="s">
        <v>367</v>
      </c>
      <c r="J29" s="45">
        <v>0</v>
      </c>
      <c r="K29" s="45">
        <v>0</v>
      </c>
      <c r="L29" s="45">
        <v>1</v>
      </c>
      <c r="M29" s="34">
        <v>1</v>
      </c>
      <c r="N29" s="45">
        <v>0</v>
      </c>
      <c r="O29" s="45">
        <f t="shared" si="3"/>
        <v>0</v>
      </c>
    </row>
    <row r="30" spans="4:16" x14ac:dyDescent="0.3">
      <c r="I30" s="46" t="s">
        <v>368</v>
      </c>
      <c r="J30" s="45">
        <v>0</v>
      </c>
      <c r="K30" s="45">
        <v>0</v>
      </c>
      <c r="L30" s="45">
        <v>1</v>
      </c>
      <c r="M30" s="34">
        <v>1</v>
      </c>
      <c r="N30" s="45">
        <v>0</v>
      </c>
      <c r="O30" s="45">
        <f t="shared" ref="O30:O31" si="4">N30 * J30*3900*(1.6)^(K30)*M30/L30</f>
        <v>0</v>
      </c>
    </row>
    <row r="31" spans="4:16" x14ac:dyDescent="0.3">
      <c r="I31" s="46" t="s">
        <v>369</v>
      </c>
      <c r="J31" s="45">
        <v>0</v>
      </c>
      <c r="K31" s="45">
        <v>0</v>
      </c>
      <c r="L31" s="45">
        <v>1</v>
      </c>
      <c r="M31" s="34">
        <v>1</v>
      </c>
      <c r="N31" s="45">
        <v>0</v>
      </c>
      <c r="O31" s="45">
        <f t="shared" si="4"/>
        <v>0</v>
      </c>
    </row>
    <row r="32" spans="4:16" x14ac:dyDescent="0.3">
      <c r="I32" s="46" t="s">
        <v>427</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V33"/>
  <sheetViews>
    <sheetView workbookViewId="0">
      <selection activeCell="I8" sqref="I8"/>
    </sheetView>
  </sheetViews>
  <sheetFormatPr defaultRowHeight="14" x14ac:dyDescent="0.3"/>
  <cols>
    <col min="1" max="1" width="5.83203125" customWidth="1"/>
    <col min="2" max="2" width="9.75" customWidth="1"/>
    <col min="4" max="4" width="8.5" customWidth="1"/>
    <col min="5" max="5" width="7.9140625" customWidth="1"/>
    <col min="6" max="6" width="8.25" customWidth="1"/>
    <col min="7" max="7" width="8.08203125" customWidth="1"/>
    <col min="8" max="8" width="8.58203125" customWidth="1"/>
    <col min="9" max="9" width="8.5" customWidth="1"/>
    <col min="10" max="10" width="13.08203125" customWidth="1"/>
    <col min="11" max="11" width="11.6640625" customWidth="1"/>
    <col min="12" max="12" width="6.58203125" customWidth="1"/>
    <col min="13" max="13" width="12" customWidth="1"/>
    <col min="14" max="14" width="11.5" customWidth="1"/>
    <col min="17" max="17" width="10.6640625" customWidth="1"/>
    <col min="18" max="18" width="9.9140625" customWidth="1"/>
    <col min="21" max="21" width="10" customWidth="1"/>
  </cols>
  <sheetData>
    <row r="1" spans="1:22" x14ac:dyDescent="0.3">
      <c r="M1" t="s">
        <v>479</v>
      </c>
    </row>
    <row r="2" spans="1:22" x14ac:dyDescent="0.3">
      <c r="C2" s="33" t="s">
        <v>238</v>
      </c>
      <c r="D2" s="33" t="s">
        <v>432</v>
      </c>
      <c r="E2" s="33" t="s">
        <v>476</v>
      </c>
      <c r="F2" s="33" t="s">
        <v>456</v>
      </c>
      <c r="G2" s="33" t="s">
        <v>457</v>
      </c>
      <c r="H2" s="33" t="s">
        <v>459</v>
      </c>
      <c r="I2" s="33" t="s">
        <v>455</v>
      </c>
      <c r="J2" s="33" t="s">
        <v>458</v>
      </c>
      <c r="K2" s="33" t="s">
        <v>454</v>
      </c>
      <c r="M2" s="35" t="s">
        <v>464</v>
      </c>
      <c r="N2" s="35" t="s">
        <v>463</v>
      </c>
      <c r="O2" s="35" t="s">
        <v>465</v>
      </c>
      <c r="P2" s="35" t="s">
        <v>462</v>
      </c>
      <c r="Q2" s="35" t="s">
        <v>467</v>
      </c>
      <c r="R2" s="35" t="s">
        <v>466</v>
      </c>
      <c r="S2" s="35" t="s">
        <v>468</v>
      </c>
      <c r="T2" s="35" t="s">
        <v>469</v>
      </c>
      <c r="U2" s="35" t="s">
        <v>82</v>
      </c>
      <c r="V2" s="35" t="s">
        <v>478</v>
      </c>
    </row>
    <row r="3" spans="1:22" x14ac:dyDescent="0.3">
      <c r="B3" t="s">
        <v>480</v>
      </c>
      <c r="C3" s="34">
        <v>1</v>
      </c>
      <c r="D3" s="27">
        <v>1.5</v>
      </c>
      <c r="E3" s="27">
        <v>0.8</v>
      </c>
      <c r="F3" s="27">
        <v>3</v>
      </c>
      <c r="G3" s="27">
        <v>1</v>
      </c>
      <c r="H3" s="27">
        <v>1</v>
      </c>
      <c r="I3" s="27">
        <v>1</v>
      </c>
      <c r="J3" s="27">
        <v>0.8</v>
      </c>
      <c r="K3" s="27">
        <v>1.3</v>
      </c>
      <c r="M3" s="49">
        <f>5+C3*D3*9*1.25^(1-E3)*J3/(G3*SQRT(H3)*1.2^(F3-3)*1.1^(I3-2)*SQRT(E3))</f>
        <v>18.888439450165926</v>
      </c>
      <c r="N3" s="49">
        <f>40+(50+C3*D3*23)*SQRT(E3)*1.25^(1-E3)*J3/(G3*SQRT(H3)*1.2^(F3-3)*1.1^(I3-2))</f>
        <v>109.54507458009012</v>
      </c>
      <c r="O3" s="49">
        <f t="shared" ref="O3:O6" si="0">MAX(200*(D3-2)+C3*D3*293*1.3^(1-E3)/(1.2^(I3-2)*SQRT(E3)*J3*SQRT(K3)),50)</f>
        <v>581.27450879982621</v>
      </c>
      <c r="P3" s="49">
        <f>MAX(180*(D3-2)+C3*D3*900*SQRT(E3)*1.3^(1-E3)/(1.2^(I3-2)*J3*SQRT(K3)),100)</f>
        <v>1584.1216598494022</v>
      </c>
      <c r="Q3" s="49">
        <f>30/SQRT(E3)+(50+C3*D3)*K3/(J3*SQRT(E3))+30*(K3-1)</f>
        <v>136.10648909600368</v>
      </c>
      <c r="R3" s="49">
        <f>210+(190+C3*D3)*K3*SQRT(E3)/(J3*1.1^(I3-2))</f>
        <v>516.16801764921502</v>
      </c>
      <c r="S3" s="49">
        <f>C3^1.15*D3^1.2*12*1.25^(1-E3)/(SQRT(E3))*IF(D3&gt;17,1.2^(D3-15),1)</f>
        <v>22.820637166202172</v>
      </c>
      <c r="T3" s="49">
        <f>95+C3^1*D3^1.58*33*1.25^(1-E3)*SQRT(E3)/1+IF(C3&gt;=6,C3*200,0)</f>
        <v>153.56863807482276</v>
      </c>
      <c r="U3" s="49">
        <f>_xlfn.FLOOR.MATH(2*C3^1.3*D3^1.3+IF(D3&gt;2,D3*10,0)+IF(D3&gt;8,C3^0.5*D3^0.7)+IF(D3&gt;16,C3^1.2*(D3-15)^2.5,0))*500</f>
        <v>1500</v>
      </c>
      <c r="V3" s="49">
        <f>_xlfn.FLOOR.MATH(U3/700)*20</f>
        <v>40</v>
      </c>
    </row>
    <row r="4" spans="1:22" x14ac:dyDescent="0.3">
      <c r="B4" t="s">
        <v>482</v>
      </c>
      <c r="C4" s="34">
        <v>1</v>
      </c>
      <c r="D4" s="27">
        <v>13</v>
      </c>
      <c r="E4" s="27">
        <v>0.8</v>
      </c>
      <c r="F4" s="27">
        <v>2</v>
      </c>
      <c r="G4" s="27">
        <v>1.7</v>
      </c>
      <c r="H4" s="27">
        <v>2</v>
      </c>
      <c r="I4" s="27">
        <v>1</v>
      </c>
      <c r="J4" s="27">
        <v>1.1000000000000001</v>
      </c>
      <c r="K4" s="27">
        <v>2.9</v>
      </c>
      <c r="M4" s="49">
        <f t="shared" ref="M4:M8" si="1">5+C4*D4*9*1.25^(1-E4)*J4/(G4*SQRT(H4)*1.2^(F4-3)*1.1^(I4-2)*SQRT(E4))</f>
        <v>87.608658193499167</v>
      </c>
      <c r="N4" s="49">
        <f t="shared" ref="N4:N7" si="2">40+(50+C4*D4*23)*SQRT(E4)*1.25^(1-E4)*J4/(G4*SQRT(H4)*1.2^(F4-3)*1.1^(I4-2))</f>
        <v>237.13108861217921</v>
      </c>
      <c r="O4" s="49">
        <f t="shared" si="0"/>
        <v>5075.0421198956528</v>
      </c>
      <c r="P4" s="49">
        <f t="shared" ref="P4:P7" si="3">MAX(180*(D4-2)+C4*D4*900*SQRT(E4)*1.3^(1-E4)/(1.2^(I4-2)*J4*SQRT(K4)),100)</f>
        <v>9044.9499191975083</v>
      </c>
      <c r="Q4" s="49">
        <f t="shared" ref="Q4:Q7" si="4">30/SQRT(E4)+(50+C4*D4)*K4/(J4*SQRT(E4))+30*(K4-1)</f>
        <v>276.23630124850206</v>
      </c>
      <c r="R4" s="49">
        <f t="shared" ref="R4:R8" si="5">210+(190+C4*D4)*K4*SQRT(E4)/(J4*1.1^(I4-2))</f>
        <v>736.54928734165037</v>
      </c>
      <c r="S4" s="49">
        <f t="shared" ref="S4:S8" si="6">C4^1.15*D4^1.2*12*1.25^(1-E4)/(SQRT(E4))*IF(D4&gt;17,1.2^(D4-15),1)</f>
        <v>304.61429344689395</v>
      </c>
      <c r="T4" s="49">
        <f t="shared" ref="T4:T8" si="7">95+C4^1*D4^1.58*33*1.25^(1-E4)*SQRT(E4)/1+IF(C4&gt;=6,C4*200,0)</f>
        <v>1871.1164335978647</v>
      </c>
      <c r="U4" s="49">
        <f t="shared" ref="U4:U8" si="8">_xlfn.FLOOR.MATH(2*C4^1.3*D4^1.3+IF(D4&gt;2,D4*10,0)+IF(D4&gt;8,C4^0.5*D4^0.7)+IF(D4&gt;16,C4^1.2*(D4-15)^2.5,0))*500</f>
        <v>96000</v>
      </c>
      <c r="V4" s="49">
        <f t="shared" ref="V4:V8" si="9">_xlfn.FLOOR.MATH(U4/700)*20</f>
        <v>2740</v>
      </c>
    </row>
    <row r="5" spans="1:22" x14ac:dyDescent="0.3">
      <c r="B5" t="s">
        <v>483</v>
      </c>
      <c r="C5" s="34">
        <v>3</v>
      </c>
      <c r="D5" s="27">
        <v>13</v>
      </c>
      <c r="E5" s="27">
        <v>1.3</v>
      </c>
      <c r="F5" s="27">
        <v>4</v>
      </c>
      <c r="G5" s="27">
        <v>1.5</v>
      </c>
      <c r="H5" s="27">
        <v>3</v>
      </c>
      <c r="I5" s="27">
        <v>3</v>
      </c>
      <c r="J5" s="27">
        <v>0.9</v>
      </c>
      <c r="K5" s="27">
        <v>2</v>
      </c>
      <c r="M5" s="49">
        <f t="shared" si="1"/>
        <v>80.557769388855888</v>
      </c>
      <c r="N5" s="49">
        <f t="shared" si="2"/>
        <v>305.01188004165385</v>
      </c>
      <c r="O5" s="49">
        <f t="shared" si="0"/>
        <v>8265.1115410970779</v>
      </c>
      <c r="P5" s="49">
        <f t="shared" si="3"/>
        <v>26199.046085609491</v>
      </c>
      <c r="Q5" s="49">
        <f t="shared" si="4"/>
        <v>229.77432661993439</v>
      </c>
      <c r="R5" s="49">
        <f t="shared" si="5"/>
        <v>737.47509565192433</v>
      </c>
      <c r="S5" s="49">
        <f t="shared" si="6"/>
        <v>756.06308092998961</v>
      </c>
      <c r="T5" s="49">
        <f t="shared" si="7"/>
        <v>6170.2529291090304</v>
      </c>
      <c r="U5" s="49">
        <f t="shared" si="8"/>
        <v>187000</v>
      </c>
      <c r="V5" s="49">
        <f t="shared" si="9"/>
        <v>5340</v>
      </c>
    </row>
    <row r="6" spans="1:22" x14ac:dyDescent="0.3">
      <c r="B6" t="s">
        <v>486</v>
      </c>
      <c r="C6" s="34">
        <v>4</v>
      </c>
      <c r="D6" s="27">
        <v>4</v>
      </c>
      <c r="E6" s="27">
        <v>1.2</v>
      </c>
      <c r="F6" s="27">
        <v>3</v>
      </c>
      <c r="G6" s="27">
        <v>1</v>
      </c>
      <c r="H6" s="27">
        <v>3</v>
      </c>
      <c r="I6" s="27">
        <v>2</v>
      </c>
      <c r="J6" s="27">
        <v>2.2999999999999998</v>
      </c>
      <c r="K6" s="27">
        <v>1.8</v>
      </c>
      <c r="M6" s="49">
        <f t="shared" si="1"/>
        <v>171.9387184223385</v>
      </c>
      <c r="N6" s="49">
        <f t="shared" si="2"/>
        <v>621.50320250447896</v>
      </c>
      <c r="O6" s="49">
        <f t="shared" si="0"/>
        <v>1715.9646431015246</v>
      </c>
      <c r="P6" s="49">
        <f t="shared" si="3"/>
        <v>5210.6546571660292</v>
      </c>
      <c r="Q6" s="49">
        <f t="shared" si="4"/>
        <v>98.537895869181312</v>
      </c>
      <c r="R6" s="49">
        <f t="shared" si="5"/>
        <v>386.60480375905706</v>
      </c>
      <c r="S6" s="49">
        <f t="shared" si="6"/>
        <v>272.30122809761059</v>
      </c>
      <c r="T6" s="49">
        <f t="shared" si="7"/>
        <v>1331.0536970509388</v>
      </c>
      <c r="U6" s="49">
        <f t="shared" si="8"/>
        <v>56500</v>
      </c>
      <c r="V6" s="49">
        <f t="shared" si="9"/>
        <v>1600</v>
      </c>
    </row>
    <row r="7" spans="1:22" x14ac:dyDescent="0.3">
      <c r="B7" t="s">
        <v>481</v>
      </c>
      <c r="C7" s="34">
        <v>5</v>
      </c>
      <c r="D7" s="27">
        <v>20</v>
      </c>
      <c r="E7" s="27">
        <v>1.5</v>
      </c>
      <c r="F7" s="27">
        <v>4</v>
      </c>
      <c r="G7" s="27">
        <v>1.2</v>
      </c>
      <c r="H7" s="27">
        <v>10</v>
      </c>
      <c r="I7" s="27">
        <v>3</v>
      </c>
      <c r="J7" s="27">
        <v>1</v>
      </c>
      <c r="K7" s="27">
        <v>2</v>
      </c>
      <c r="M7" s="49">
        <f t="shared" si="1"/>
        <v>136.21597027036952</v>
      </c>
      <c r="N7" s="49">
        <f t="shared" si="2"/>
        <v>553.92921689228058</v>
      </c>
      <c r="O7" s="49">
        <f>MAX(200*(D7-2)+C7*D7*293*1.3^(1-E7)/(1.2^(I7-2)*SQRT(E7)*J7*SQRT(K7)),50)</f>
        <v>15963.859773146431</v>
      </c>
      <c r="P7" s="49">
        <f t="shared" si="3"/>
        <v>60206.58939845625</v>
      </c>
      <c r="Q7" s="49">
        <f t="shared" si="4"/>
        <v>299.44387170614959</v>
      </c>
      <c r="R7" s="49">
        <f t="shared" si="5"/>
        <v>855.77456855192861</v>
      </c>
      <c r="S7" s="49">
        <f t="shared" si="6"/>
        <v>5054.0361041989854</v>
      </c>
      <c r="T7" s="49">
        <f t="shared" si="7"/>
        <v>20639.802012802509</v>
      </c>
      <c r="U7" s="49">
        <f t="shared" si="8"/>
        <v>700000</v>
      </c>
      <c r="V7" s="49">
        <f t="shared" si="9"/>
        <v>20000</v>
      </c>
    </row>
    <row r="8" spans="1:22" x14ac:dyDescent="0.3">
      <c r="B8" s="1" t="s">
        <v>472</v>
      </c>
      <c r="C8" s="36">
        <v>1</v>
      </c>
      <c r="D8" s="37">
        <v>1</v>
      </c>
      <c r="E8" s="37">
        <v>1</v>
      </c>
      <c r="F8" s="37">
        <v>3</v>
      </c>
      <c r="G8" s="37">
        <v>2</v>
      </c>
      <c r="H8" s="37">
        <v>3</v>
      </c>
      <c r="I8" s="37">
        <v>2</v>
      </c>
      <c r="J8" s="37">
        <v>1</v>
      </c>
      <c r="K8" s="37">
        <v>1</v>
      </c>
      <c r="M8" s="48">
        <f t="shared" si="1"/>
        <v>7.598076211353316</v>
      </c>
      <c r="N8" s="48">
        <f>40+(50+C8*D8*23)*SQRT(E8)*1.25^(1-E8)*J8/(G8*SQRT(H8)*1.2^(F8-3)*1.1^(I8-2))</f>
        <v>61.073284825421339</v>
      </c>
      <c r="O8" s="48">
        <f>MAX(200*(D8-2)+C8*D8*293*1.3^(1-E8)/(1.2^(I8-2)*SQRT(E8)*J8*SQRT(K8)),50)</f>
        <v>93</v>
      </c>
      <c r="P8" s="48">
        <f>MAX(180*(D8-2)+C8*D8*900*SQRT(E8)*1.3^(1-E8)/(1.2^(I8-2)*J8*SQRT(K8)),100)</f>
        <v>720</v>
      </c>
      <c r="Q8" s="48">
        <f>30/SQRT(E8)+(50+C8*D8)*K8/(J8*SQRT(E8))+30*(K8-1)</f>
        <v>81</v>
      </c>
      <c r="R8" s="48">
        <f t="shared" si="5"/>
        <v>401</v>
      </c>
      <c r="S8" s="48">
        <f t="shared" si="6"/>
        <v>12</v>
      </c>
      <c r="T8" s="48">
        <f t="shared" si="7"/>
        <v>128</v>
      </c>
      <c r="U8" s="48">
        <f t="shared" si="8"/>
        <v>1000</v>
      </c>
      <c r="V8" s="48">
        <f t="shared" si="9"/>
        <v>20</v>
      </c>
    </row>
    <row r="10" spans="1:22" x14ac:dyDescent="0.3">
      <c r="A10" s="2" t="s">
        <v>485</v>
      </c>
      <c r="C10" s="24" t="s">
        <v>236</v>
      </c>
      <c r="D10" s="2" t="s">
        <v>484</v>
      </c>
    </row>
    <row r="11" spans="1:22" x14ac:dyDescent="0.3">
      <c r="A11" s="6" t="s">
        <v>150</v>
      </c>
      <c r="B11" s="6"/>
      <c r="C11" s="24"/>
      <c r="D11" s="2" t="s">
        <v>477</v>
      </c>
    </row>
    <row r="12" spans="1:22" x14ac:dyDescent="0.3">
      <c r="A12" s="15" t="s">
        <v>149</v>
      </c>
      <c r="B12" s="15"/>
      <c r="D12" s="2" t="s">
        <v>493</v>
      </c>
    </row>
    <row r="13" spans="1:22" x14ac:dyDescent="0.3">
      <c r="D13" s="2" t="s">
        <v>492</v>
      </c>
    </row>
    <row r="14" spans="1:22" x14ac:dyDescent="0.3">
      <c r="D14" s="2" t="s">
        <v>470</v>
      </c>
    </row>
    <row r="15" spans="1:22" x14ac:dyDescent="0.3">
      <c r="D15" s="2" t="s">
        <v>460</v>
      </c>
    </row>
    <row r="16" spans="1:22" x14ac:dyDescent="0.3">
      <c r="D16" s="2" t="s">
        <v>491</v>
      </c>
    </row>
    <row r="17" spans="2:10" x14ac:dyDescent="0.3">
      <c r="D17" s="2" t="s">
        <v>461</v>
      </c>
    </row>
    <row r="18" spans="2:10" x14ac:dyDescent="0.3">
      <c r="D18" s="2"/>
    </row>
    <row r="19" spans="2:10" x14ac:dyDescent="0.3">
      <c r="B19" s="2" t="s">
        <v>238</v>
      </c>
      <c r="H19" s="2" t="s">
        <v>432</v>
      </c>
    </row>
    <row r="20" spans="2:10" x14ac:dyDescent="0.3">
      <c r="B20" s="33" t="s">
        <v>410</v>
      </c>
      <c r="C20" s="35" t="s">
        <v>411</v>
      </c>
      <c r="D20" s="33" t="s">
        <v>414</v>
      </c>
      <c r="H20" s="33" t="s">
        <v>433</v>
      </c>
      <c r="I20" s="35" t="s">
        <v>411</v>
      </c>
      <c r="J20" s="33" t="s">
        <v>444</v>
      </c>
    </row>
    <row r="21" spans="2:10" x14ac:dyDescent="0.3">
      <c r="B21" t="s">
        <v>409</v>
      </c>
      <c r="C21" s="40">
        <v>1</v>
      </c>
      <c r="H21" t="s">
        <v>434</v>
      </c>
      <c r="I21" s="40">
        <v>1</v>
      </c>
      <c r="J21" t="s">
        <v>446</v>
      </c>
    </row>
    <row r="22" spans="2:10" x14ac:dyDescent="0.3">
      <c r="B22" t="s">
        <v>412</v>
      </c>
      <c r="C22" s="40">
        <v>2</v>
      </c>
      <c r="H22" t="s">
        <v>435</v>
      </c>
      <c r="I22" s="40">
        <v>1.5</v>
      </c>
      <c r="J22" t="s">
        <v>473</v>
      </c>
    </row>
    <row r="23" spans="2:10" x14ac:dyDescent="0.3">
      <c r="B23" t="s">
        <v>413</v>
      </c>
      <c r="C23" s="40">
        <v>3</v>
      </c>
      <c r="H23" t="s">
        <v>436</v>
      </c>
      <c r="I23" s="40">
        <v>2</v>
      </c>
      <c r="J23" t="s">
        <v>447</v>
      </c>
    </row>
    <row r="24" spans="2:10" x14ac:dyDescent="0.3">
      <c r="B24" t="s">
        <v>415</v>
      </c>
      <c r="C24" s="40">
        <v>4</v>
      </c>
      <c r="D24" t="s">
        <v>426</v>
      </c>
      <c r="H24" t="s">
        <v>437</v>
      </c>
      <c r="I24" s="44" t="s">
        <v>488</v>
      </c>
      <c r="J24" t="s">
        <v>487</v>
      </c>
    </row>
    <row r="25" spans="2:10" x14ac:dyDescent="0.3">
      <c r="B25" t="s">
        <v>416</v>
      </c>
      <c r="C25" s="40">
        <v>5</v>
      </c>
      <c r="D25" t="s">
        <v>423</v>
      </c>
      <c r="H25" t="s">
        <v>438</v>
      </c>
      <c r="I25" s="44" t="s">
        <v>489</v>
      </c>
      <c r="J25" t="s">
        <v>448</v>
      </c>
    </row>
    <row r="26" spans="2:10" x14ac:dyDescent="0.3">
      <c r="B26" t="s">
        <v>417</v>
      </c>
      <c r="C26" s="40">
        <v>6</v>
      </c>
      <c r="D26" t="s">
        <v>425</v>
      </c>
      <c r="H26" t="s">
        <v>439</v>
      </c>
      <c r="I26" s="44" t="s">
        <v>490</v>
      </c>
      <c r="J26" t="s">
        <v>449</v>
      </c>
    </row>
    <row r="27" spans="2:10" x14ac:dyDescent="0.3">
      <c r="B27" t="s">
        <v>418</v>
      </c>
      <c r="C27" s="40">
        <v>7</v>
      </c>
      <c r="D27" t="s">
        <v>424</v>
      </c>
      <c r="H27" t="s">
        <v>440</v>
      </c>
      <c r="I27" s="40">
        <v>9</v>
      </c>
      <c r="J27" t="s">
        <v>452</v>
      </c>
    </row>
    <row r="28" spans="2:10" x14ac:dyDescent="0.3">
      <c r="B28" t="s">
        <v>419</v>
      </c>
      <c r="C28" s="40">
        <v>8</v>
      </c>
      <c r="H28" t="s">
        <v>441</v>
      </c>
      <c r="I28" s="40">
        <v>13</v>
      </c>
      <c r="J28" t="s">
        <v>453</v>
      </c>
    </row>
    <row r="29" spans="2:10" x14ac:dyDescent="0.3">
      <c r="B29" t="s">
        <v>420</v>
      </c>
      <c r="C29" s="40">
        <v>9</v>
      </c>
      <c r="H29" t="s">
        <v>442</v>
      </c>
      <c r="I29" s="40">
        <v>16</v>
      </c>
      <c r="J29" t="s">
        <v>471</v>
      </c>
    </row>
    <row r="30" spans="2:10" x14ac:dyDescent="0.3">
      <c r="B30" t="s">
        <v>421</v>
      </c>
      <c r="C30" s="44" t="s">
        <v>422</v>
      </c>
      <c r="H30" t="s">
        <v>443</v>
      </c>
      <c r="I30" s="40">
        <v>20</v>
      </c>
      <c r="J30" t="s">
        <v>451</v>
      </c>
    </row>
    <row r="32" spans="2:10" x14ac:dyDescent="0.3">
      <c r="B32" t="s">
        <v>474</v>
      </c>
      <c r="C32" s="47" t="s">
        <v>475</v>
      </c>
      <c r="D32" s="44"/>
      <c r="H32" s="24" t="s">
        <v>236</v>
      </c>
      <c r="I32" s="2" t="s">
        <v>450</v>
      </c>
    </row>
    <row r="33" spans="9:9" x14ac:dyDescent="0.3">
      <c r="I33" s="2" t="s">
        <v>445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82"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387</v>
      </c>
    </row>
    <row r="3" spans="2:22" x14ac:dyDescent="0.3">
      <c r="C3" t="s">
        <v>123</v>
      </c>
      <c r="D3" t="s">
        <v>124</v>
      </c>
      <c r="E3" t="s">
        <v>125</v>
      </c>
      <c r="J3" t="s">
        <v>388</v>
      </c>
      <c r="K3" t="s">
        <v>389</v>
      </c>
      <c r="L3" t="s">
        <v>390</v>
      </c>
      <c r="M3" t="s">
        <v>394</v>
      </c>
      <c r="N3" t="s">
        <v>395</v>
      </c>
      <c r="O3" t="s">
        <v>393</v>
      </c>
      <c r="P3" t="s">
        <v>396</v>
      </c>
      <c r="Q3" t="s">
        <v>391</v>
      </c>
      <c r="R3" t="s">
        <v>399</v>
      </c>
      <c r="S3" t="s">
        <v>400</v>
      </c>
      <c r="T3" t="s">
        <v>392</v>
      </c>
      <c r="U3" t="s">
        <v>397</v>
      </c>
      <c r="V3" t="s">
        <v>398</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2024-11-15T11:11:40Z</dcterms:modified>
</cp:coreProperties>
</file>