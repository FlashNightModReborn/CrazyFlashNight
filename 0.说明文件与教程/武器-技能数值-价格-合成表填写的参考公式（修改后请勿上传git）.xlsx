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8283223F-A581-4BA8-A468-B50FF90D2BAE}" xr6:coauthVersionLast="47" xr6:coauthVersionMax="47" xr10:uidLastSave="{00000000-0000-0000-0000-000000000000}"/>
  <bookViews>
    <workbookView xWindow="-110" yWindow="-110" windowWidth="25820" windowHeight="13900" tabRatio="651" activeTab="3"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敌方或战宠经验" sheetId="6" r:id="rId9"/>
    <sheet name="根据等级计算怪物属性" sheetId="7" r:id="rId10"/>
    <sheet name="伤害公式" sheetId="8" r:id="rId11"/>
    <sheet name="其余计算" sheetId="9" r:id="rId12"/>
    <sheet name="旧版-枪械" sheetId="1" r:id="rId1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3" i="3" l="1"/>
  <c r="H12" i="3"/>
  <c r="Q19" i="13"/>
  <c r="Q20" i="13"/>
  <c r="Q16" i="13"/>
  <c r="Q17" i="13"/>
  <c r="Q18"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M5" i="13"/>
  <c r="M6" i="13"/>
  <c r="M7" i="13"/>
  <c r="M4" i="13"/>
  <c r="AC10" i="12"/>
  <c r="AC13" i="12"/>
  <c r="AC4" i="12"/>
  <c r="AC5" i="12"/>
  <c r="AC6" i="12"/>
  <c r="AC3" i="12"/>
  <c r="AF4" i="12"/>
  <c r="AF5" i="12"/>
  <c r="AF6" i="12"/>
  <c r="AF7" i="12"/>
  <c r="AF10" i="12"/>
  <c r="AF11" i="12"/>
  <c r="AF13" i="12"/>
  <c r="AF14" i="12"/>
  <c r="AF3" i="12"/>
  <c r="AA10" i="12"/>
  <c r="AA3" i="12"/>
  <c r="AD3" i="12"/>
  <c r="AD4" i="12"/>
  <c r="AD5" i="12"/>
  <c r="AD6" i="12"/>
  <c r="AD7" i="12"/>
  <c r="AD8" i="12"/>
  <c r="AD10" i="12"/>
  <c r="AD11" i="12"/>
  <c r="AD12" i="12"/>
  <c r="AD13" i="12"/>
  <c r="AD14" i="12"/>
  <c r="AD15" i="12"/>
  <c r="AE4" i="12"/>
  <c r="AE5" i="12"/>
  <c r="AE6" i="12"/>
  <c r="AE7" i="12"/>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T5" i="9" l="1"/>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5" i="13"/>
  <c r="O6" i="13"/>
  <c r="O7" i="13"/>
  <c r="O4" i="13"/>
  <c r="R16" i="13"/>
  <c r="R15" i="13"/>
  <c r="Q15" i="13"/>
  <c r="H15" i="13"/>
  <c r="G16" i="13"/>
  <c r="G17" i="13"/>
  <c r="G18" i="13"/>
  <c r="G19" i="13"/>
  <c r="G20" i="13"/>
  <c r="G21" i="13"/>
  <c r="G22" i="13"/>
  <c r="G23" i="13"/>
  <c r="G24" i="13"/>
  <c r="G25" i="13"/>
  <c r="G26" i="13"/>
  <c r="G27" i="13"/>
  <c r="G28" i="13"/>
  <c r="G29" i="13"/>
  <c r="G30" i="13"/>
  <c r="G15" i="13"/>
  <c r="Q25" i="11"/>
  <c r="Q26" i="11"/>
  <c r="Q24" i="11"/>
  <c r="Q23" i="11"/>
  <c r="T7" i="9" l="1"/>
  <c r="T9" i="9"/>
  <c r="T10" i="9"/>
  <c r="T11" i="9"/>
  <c r="T16" i="9"/>
  <c r="Q13" i="9"/>
  <c r="U7" i="9"/>
  <c r="T13" i="9"/>
  <c r="T14" i="9"/>
  <c r="U12" i="9"/>
  <c r="U16" i="9"/>
  <c r="Q14" i="9"/>
  <c r="T15" i="9"/>
  <c r="U8" i="9"/>
  <c r="U9" i="9"/>
  <c r="U10" i="9"/>
  <c r="Q11" i="9"/>
  <c r="Q15" i="9"/>
  <c r="T8" i="9"/>
  <c r="U6" i="9"/>
  <c r="T12" i="9"/>
  <c r="H16" i="13"/>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N15" i="10"/>
  <c r="N14" i="10"/>
  <c r="N4" i="10"/>
  <c r="N5" i="10"/>
  <c r="N6" i="10"/>
  <c r="N7" i="10"/>
  <c r="N8" i="10"/>
  <c r="N9" i="10"/>
  <c r="N10" i="10"/>
  <c r="N3" i="10"/>
  <c r="J17" i="8"/>
  <c r="J18" i="8"/>
  <c r="O3" i="10"/>
  <c r="P3" i="10" s="1"/>
  <c r="O9" i="10"/>
  <c r="P9" i="10"/>
  <c r="O4" i="10"/>
  <c r="P4" i="10" s="1"/>
  <c r="O5" i="10"/>
  <c r="O6" i="10"/>
  <c r="P6" i="10" s="1"/>
  <c r="O7" i="10"/>
  <c r="P7" i="10" s="1"/>
  <c r="O8" i="10"/>
  <c r="P8" i="10"/>
  <c r="N4" i="11"/>
  <c r="O4" i="11"/>
  <c r="P4" i="11" s="1"/>
  <c r="O3" i="11"/>
  <c r="J14" i="11"/>
  <c r="J15" i="11"/>
  <c r="J16" i="11"/>
  <c r="J17" i="11"/>
  <c r="J18" i="11"/>
  <c r="J13" i="11"/>
  <c r="N3" i="11"/>
  <c r="N9" i="11"/>
  <c r="N10" i="11"/>
  <c r="D18" i="8"/>
  <c r="D21" i="8"/>
  <c r="F21" i="8" s="1"/>
  <c r="G21" i="8" s="1"/>
  <c r="O15" i="10"/>
  <c r="P15" i="10" s="1"/>
  <c r="O14" i="10"/>
  <c r="P14" i="10" s="1"/>
  <c r="S9" i="10"/>
  <c r="R9" i="10"/>
  <c r="P5" i="10"/>
  <c r="S3" i="10"/>
  <c r="S4" i="10"/>
  <c r="S5" i="10"/>
  <c r="S6" i="10"/>
  <c r="S7" i="10"/>
  <c r="S8" i="10"/>
  <c r="S10" i="10"/>
  <c r="R3" i="10"/>
  <c r="R4" i="10"/>
  <c r="R5" i="10"/>
  <c r="R6" i="10"/>
  <c r="R7" i="10"/>
  <c r="R8" i="10"/>
  <c r="R10" i="10"/>
  <c r="O10" i="10"/>
  <c r="P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<sst xmlns="http://schemas.openxmlformats.org/spreadsheetml/2006/main" count="618" uniqueCount="415">
  <si>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</si>
  <si>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</si>
  <si>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</si>
  <si>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</si>
  <si>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</si>
  <si>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</si>
  <si>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</si>
  <si>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</si>
  <si>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</si>
  <si>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</si>
  <si>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</si>
  <si>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</si>
  <si>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</si>
  <si>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</si>
  <si>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</si>
  <si>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</si>
  <si>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</si>
  <si>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</si>
  <si>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</si>
  <si>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</si>
  <si>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</si>
  <si>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</si>
  <si>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</si>
  <si>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</si>
  <si>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</si>
  <si>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</si>
  <si>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</si>
  <si>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</si>
  <si>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</si>
  <si>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</si>
  <si>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</si>
  <si>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</si>
  <si>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</si>
  <si>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</si>
  <si>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</si>
  <si>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</si>
  <si>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</si>
  <si>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</si>
  <si>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</si>
  <si>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</si>
  <si>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</si>
  <si>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</si>
  <si>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</si>
  <si>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</si>
  <si>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</si>
  <si>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</si>
  <si>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</si>
  <si>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</si>
  <si>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</si>
  <si>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</si>
  <si>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</si>
  <si>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</si>
  <si>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</si>
  <si>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</si>
  <si>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</si>
  <si>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</si>
  <si>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</si>
  <si>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</si>
  <si>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</si>
  <si>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</si>
  <si>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</si>
  <si>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</si>
  <si>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</si>
  <si>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</si>
  <si>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</si>
  <si>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</si>
  <si>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</si>
  <si>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</si>
  <si>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</si>
  <si>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</si>
  <si>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</si>
  <si>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</si>
  <si>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</si>
  <si>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</si>
  <si>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</si>
  <si>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</si>
  <si>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</si>
  <si>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</si>
  <si>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</si>
  <si>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</si>
  <si>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</si>
  <si>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</si>
  <si>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</si>
  <si>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</si>
  <si>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</si>
  <si>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</si>
  <si>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</si>
  <si>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</si>
  <si>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</si>
  <si>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</si>
  <si>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</si>
  <si>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</si>
  <si>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</si>
  <si>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</si>
  <si>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</si>
  <si>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</si>
  <si>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</si>
  <si>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</si>
  <si>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</si>
  <si>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</si>
  <si>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</si>
  <si>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</si>
  <si>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</si>
  <si>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</si>
  <si>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</si>
  <si>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</si>
  <si>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</si>
  <si>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</si>
  <si>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</si>
  <si>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</si>
  <si>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</si>
  <si>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</si>
  <si>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</si>
  <si>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</si>
  <si>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</si>
  <si>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</si>
  <si>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</si>
  <si>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</si>
  <si>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</si>
  <si>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</si>
  <si>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</si>
  <si>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</si>
  <si>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</si>
  <si>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</si>
  <si>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</si>
  <si>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</si>
  <si>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</si>
  <si>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</si>
  <si>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</si>
  <si>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</si>
  <si>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</si>
  <si>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</si>
  <si>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</si>
  <si>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</si>
  <si>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</si>
  <si>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</si>
  <si>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</si>
  <si>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</si>
  <si>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</si>
  <si>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</si>
  <si>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</si>
  <si>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</si>
  <si>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</si>
  <si>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</si>
  <si>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</si>
  <si>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</si>
  <si>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</si>
  <si>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</si>
  <si>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</si>
  <si>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</si>
  <si>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</si>
  <si>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</si>
  <si>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</si>
  <si>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</si>
  <si>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</si>
  <si>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</si>
  <si>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</si>
  <si>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</si>
  <si>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</si>
  <si>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</si>
  <si>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</si>
  <si>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</si>
  <si>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</si>
  <si>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</si>
  <si>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</si>
  <si>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</si>
  <si>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</si>
  <si>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</si>
  <si>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</si>
  <si>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</si>
  <si>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</si>
  <si>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</si>
  <si>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</si>
  <si>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</si>
  <si>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</si>
  <si>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</si>
  <si>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</si>
  <si>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</si>
  <si>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单件法抗均值上限</t>
    <phoneticPr fontId="1" type="noConversion"/>
  </si>
  <si>
    <t>单件法抗最高上限</t>
    <phoneticPr fontId="1" type="noConversion"/>
  </si>
  <si>
    <t>钢铁小熊均值</t>
    <phoneticPr fontId="1" type="noConversion"/>
  </si>
  <si>
    <t>军阀重装上身</t>
    <phoneticPr fontId="1" type="noConversion"/>
  </si>
  <si>
    <t>A兵团上身</t>
    <phoneticPr fontId="1" type="noConversion"/>
  </si>
  <si>
    <t>注释：套装特殊部件可根据特点或重量等适当浮动或者面板转移，但同一套装不同部件之间不要偏差过大，否则可能导致混装的强度较高。</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</si>
  <si>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</si>
  <si>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</si>
  <si>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</si>
  <si>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</si>
  <si>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</si>
  <si>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</si>
  <si>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</si>
  <si>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</si>
  <si>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</si>
  <si>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</si>
  <si>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</si>
  <si>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</si>
  <si>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魔法抗性单件不要过高。全属性抗性目前仅供参考，上下身各10点封顶，请尽可能避免在无作弊可得的物品内实装。</t>
    <phoneticPr fontId="1" type="noConversion"/>
  </si>
  <si>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</si>
  <si>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</si>
  <si>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</si>
  <si>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</si>
  <si>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</si>
  <si>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注释：由于项链通常限制等级填写不规范，可以获取时对应的玩家等级作为参考。</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</si>
  <si>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</si>
  <si>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</si>
  <si>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</si>
  <si>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</si>
  <si>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</si>
  <si>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</si>
  <si>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</si>
  <si>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</si>
  <si>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</si>
  <si>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</si>
  <si>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</si>
  <si>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</si>
  <si>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</si>
  <si>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</si>
  <si>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</si>
  <si>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</si>
  <si>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</si>
  <si>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</si>
  <si>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</si>
  <si>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</si>
  <si>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</si>
  <si>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</si>
  <si>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</si>
  <si>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</si>
  <si>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</si>
  <si>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</si>
  <si>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</si>
  <si>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</si>
  <si>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</si>
  <si>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</si>
  <si>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</si>
  <si>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</si>
  <si>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</si>
  <si>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</si>
  <si>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</si>
  <si>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</si>
  <si>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</si>
  <si>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</si>
  <si>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</si>
  <si>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</si>
  <si>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</si>
  <si>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</si>
  <si>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</si>
  <si>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</si>
  <si>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</si>
  <si>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</si>
  <si>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</si>
  <si>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</si>
  <si>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</si>
  <si>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</si>
  <si>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</si>
  <si>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</si>
  <si>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</si>
  <si>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</si>
  <si>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</si>
  <si>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</si>
  <si>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</si>
  <si>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</si>
  <si>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</si>
  <si>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</si>
  <si>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</si>
  <si>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</si>
  <si>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</si>
  <si>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</si>
  <si>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</si>
  <si>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</si>
  <si>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</si>
  <si>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</si>
  <si>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</si>
  <si>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</si>
  <si>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</si>
  <si>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</si>
  <si>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</si>
  <si>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</si>
  <si>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</si>
  <si>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</si>
  <si>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</si>
  <si>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</si>
  <si>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</si>
  <si>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</si>
  <si>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</si>
  <si>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</si>
  <si>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</si>
  <si>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</si>
  <si>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</si>
  <si>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</si>
  <si>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</si>
  <si>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</si>
  <si>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</si>
  <si>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</si>
  <si>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</si>
  <si>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</si>
  <si>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</si>
  <si>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</si>
  <si>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</si>
  <si>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</si>
  <si>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</si>
  <si>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</si>
  <si>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</si>
  <si>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</si>
  <si>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</si>
  <si>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</si>
  <si>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</si>
  <si>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</si>
  <si>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</si>
  <si>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</si>
  <si>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</si>
  <si>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</si>
  <si>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</si>
  <si>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</si>
  <si>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</si>
  <si>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</si>
  <si>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</si>
  <si>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</si>
  <si>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</si>
  <si>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</si>
  <si>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</si>
  <si>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</si>
  <si>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</si>
  <si>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</si>
  <si>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</si>
  <si>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</si>
  <si>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</si>
  <si>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</si>
  <si>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</si>
  <si>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</si>
  <si>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</si>
  <si>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</si>
  <si>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</si>
  <si>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</si>
  <si>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</si>
  <si>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</si>
  <si>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</si>
  <si>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</si>
  <si>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</si>
  <si>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</si>
  <si>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</si>
  <si>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</si>
  <si>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</si>
  <si>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</si>
  <si>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</si>
  <si>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</si>
  <si>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</si>
  <si>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</si>
  <si>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</si>
  <si>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</si>
  <si>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</si>
  <si>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</si>
  <si>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</si>
  <si>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</si>
  <si>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</si>
  <si>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</si>
  <si>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</si>
  <si>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</si>
  <si>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</si>
  <si>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</si>
  <si>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素材10</t>
  </si>
  <si>
    <t>素材11</t>
  </si>
  <si>
    <t>素材12</t>
  </si>
  <si>
    <t>素材13</t>
  </si>
  <si>
    <t>素材14</t>
  </si>
  <si>
    <t>素材15</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</si>
  <si>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</si>
  <si>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</si>
  <si>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</si>
  <si>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</si>
  <si>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</si>
  <si>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</si>
  <si>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</si>
  <si>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</si>
  <si>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</si>
  <si>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</si>
  <si>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</si>
  <si>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</si>
  <si>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</si>
  <si>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</si>
  <si>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</si>
  <si>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</si>
  <si>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</si>
  <si>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以当前收益≈期望收益为平衡标准</t>
    <phoneticPr fontId="1" type="noConversion"/>
  </si>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</sst>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2">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S18" totalsRowShown="0" headerRowDxfId="8">
  <tableColumns count="18">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单件法抗均值上限" dataDxfId="6">
      <calculatedColumnFormula>10+表2_2[[#This Row],[限制等级]]*0.2</calculatedColumnFormula>
    </tableColumn>
    <tableColumn id="17" xr3:uid="{2A71EA5E-6A4C-44FD-9B0C-0AEFEAC81C2E}" name="单件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Q6" sqref="Q6"/>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272</v>
      </c>
      <c r="D1" t="s">
        <v>46</v>
      </c>
      <c r="E1" t="s">
        <v>43</v>
      </c>
      <c r="F1" t="s">
        <v>44</v>
      </c>
      <c r="G1" t="s">
        <v>45</v>
      </c>
      <c r="I1" t="s">
        <v>305</v>
      </c>
      <c r="L1" t="s">
        <v>279</v>
      </c>
      <c r="M1" t="s">
        <v>42</v>
      </c>
      <c r="N1" t="s">
        <v>303</v>
      </c>
      <c r="O1" t="s">
        <v>165</v>
      </c>
      <c r="Q1" s="1" t="s">
        <v>389</v>
      </c>
      <c r="V1" t="s">
        <v>316</v>
      </c>
    </row>
    <row r="2" spans="1:41" x14ac:dyDescent="0.3">
      <c r="A2" t="s">
        <v>317</v>
      </c>
      <c r="B2" s="10" t="s">
        <v>288</v>
      </c>
      <c r="C2" s="10" t="s">
        <v>50</v>
      </c>
      <c r="D2" s="8" t="s">
        <v>14</v>
      </c>
      <c r="E2" s="8" t="s">
        <v>1</v>
      </c>
      <c r="F2" s="8" t="s">
        <v>2</v>
      </c>
      <c r="G2" s="8" t="s">
        <v>3</v>
      </c>
      <c r="H2" s="8" t="s">
        <v>10</v>
      </c>
      <c r="I2" s="8" t="s">
        <v>170</v>
      </c>
      <c r="J2" s="9" t="s">
        <v>6</v>
      </c>
      <c r="K2" s="9" t="s">
        <v>4</v>
      </c>
      <c r="L2" s="9" t="s">
        <v>278</v>
      </c>
      <c r="M2" s="8" t="s">
        <v>162</v>
      </c>
      <c r="N2" s="8" t="s">
        <v>302</v>
      </c>
      <c r="O2" s="8" t="s">
        <v>12</v>
      </c>
      <c r="P2" s="11" t="s">
        <v>227</v>
      </c>
      <c r="Q2" s="14" t="s">
        <v>297</v>
      </c>
      <c r="R2" s="11" t="s">
        <v>228</v>
      </c>
      <c r="S2" s="14" t="s">
        <v>301</v>
      </c>
      <c r="T2" s="11" t="s">
        <v>313</v>
      </c>
      <c r="U2" s="11" t="s">
        <v>226</v>
      </c>
      <c r="V2" s="14" t="s">
        <v>300</v>
      </c>
      <c r="W2" s="14" t="s">
        <v>298</v>
      </c>
      <c r="X2" s="14" t="s">
        <v>306</v>
      </c>
      <c r="Y2" s="14" t="s">
        <v>314</v>
      </c>
      <c r="Z2" s="14" t="s">
        <v>390</v>
      </c>
      <c r="AA2" s="14" t="s">
        <v>391</v>
      </c>
      <c r="AB2" s="14" t="s">
        <v>392</v>
      </c>
      <c r="AC2" s="14" t="s">
        <v>393</v>
      </c>
      <c r="AD2" s="14" t="s">
        <v>398</v>
      </c>
      <c r="AE2" s="14" t="s">
        <v>397</v>
      </c>
      <c r="AF2" s="14" t="s">
        <v>399</v>
      </c>
      <c r="AG2" s="14" t="s">
        <v>394</v>
      </c>
      <c r="AH2" s="14" t="s">
        <v>296</v>
      </c>
      <c r="AI2" s="14" t="s">
        <v>169</v>
      </c>
      <c r="AJ2" s="14" t="s">
        <v>277</v>
      </c>
      <c r="AK2" s="14" t="s">
        <v>304</v>
      </c>
      <c r="AL2" s="14" t="s">
        <v>315</v>
      </c>
      <c r="AM2" s="14" t="s">
        <v>299</v>
      </c>
      <c r="AN2" s="14" t="s">
        <v>295</v>
      </c>
      <c r="AO2" s="14" t="s">
        <v>339</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280</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289</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291</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293</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287</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290</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292</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312</v>
      </c>
      <c r="B15" s="3"/>
      <c r="C15" t="s">
        <v>293</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242</v>
      </c>
      <c r="D17" s="3"/>
      <c r="E17" s="3"/>
      <c r="F17" s="3"/>
      <c r="G17" s="3"/>
      <c r="H17" s="3"/>
      <c r="I17" s="3"/>
    </row>
    <row r="18" spans="2:41" x14ac:dyDescent="0.3">
      <c r="B18" s="3"/>
      <c r="C18" s="2" t="s">
        <v>281</v>
      </c>
      <c r="D18" s="2" t="s">
        <v>285</v>
      </c>
    </row>
    <row r="19" spans="2:41" x14ac:dyDescent="0.3">
      <c r="B19" s="3"/>
      <c r="C19" s="2" t="s">
        <v>282</v>
      </c>
      <c r="D19" s="2" t="s">
        <v>286</v>
      </c>
    </row>
    <row r="20" spans="2:41" x14ac:dyDescent="0.3">
      <c r="B20" s="3"/>
      <c r="C20" s="2" t="s">
        <v>283</v>
      </c>
      <c r="D20" s="2" t="s">
        <v>307</v>
      </c>
      <c r="O20" s="29" t="s">
        <v>294</v>
      </c>
    </row>
    <row r="21" spans="2:41" x14ac:dyDescent="0.3">
      <c r="B21" s="3"/>
      <c r="C21" s="2" t="s">
        <v>284</v>
      </c>
      <c r="D21" s="2" t="s">
        <v>388</v>
      </c>
    </row>
    <row r="22" spans="2:41" x14ac:dyDescent="0.3">
      <c r="B22" s="3"/>
    </row>
    <row r="23" spans="2:41" x14ac:dyDescent="0.3">
      <c r="B23" s="4" t="s">
        <v>40</v>
      </c>
      <c r="C23" s="2" t="s">
        <v>311</v>
      </c>
    </row>
    <row r="24" spans="2:41" x14ac:dyDescent="0.3">
      <c r="B24" s="3"/>
      <c r="C24" t="s">
        <v>318</v>
      </c>
      <c r="AL24" s="2" t="s">
        <v>274</v>
      </c>
    </row>
    <row r="25" spans="2:41" x14ac:dyDescent="0.3">
      <c r="B25" s="3"/>
      <c r="AL25" t="s">
        <v>90</v>
      </c>
      <c r="AM25" t="s">
        <v>169</v>
      </c>
      <c r="AN25" t="s">
        <v>395</v>
      </c>
      <c r="AO25" t="s">
        <v>277</v>
      </c>
    </row>
    <row r="26" spans="2:41" x14ac:dyDescent="0.3">
      <c r="B26" s="4" t="s">
        <v>41</v>
      </c>
      <c r="C26" t="s">
        <v>308</v>
      </c>
      <c r="AK26" s="2" t="s">
        <v>275</v>
      </c>
      <c r="AL26" s="28">
        <v>10</v>
      </c>
      <c r="AM26" s="28">
        <v>85</v>
      </c>
      <c r="AN26" s="28">
        <f>表5[[#This Row],[伤害加成]]*IF(AL26&gt;=25, 1 + (MIN(13,(AL26-18)/3.5) - 1) * (MIN(13,(AL26-18)/3.5)  - 1) / 100 + 0.05 * (MIN(13,(AL26-18)/3.5)  - 1),1)-表5[[#This Row],[伤害加成]]</f>
        <v>0</v>
      </c>
      <c r="AO26" s="28">
        <v>30</v>
      </c>
    </row>
    <row r="27" spans="2:41" x14ac:dyDescent="0.3">
      <c r="C27" t="s">
        <v>309</v>
      </c>
      <c r="AL27" s="28">
        <v>20</v>
      </c>
      <c r="AM27" s="28">
        <v>160</v>
      </c>
      <c r="AN27" s="28">
        <f>表5[[#This Row],[伤害加成]]*IF(AL27&gt;=25, 1 + (MIN(13,(AL27-18)/3.5) - 1) * (MIN(13,(AL27-18)/3.5)  - 1) / 100 + 0.05 * (MIN(13,(AL27-18)/3.5)  - 1),1)-表5[[#This Row],[伤害加成]]</f>
        <v>0</v>
      </c>
      <c r="AO27" s="28">
        <v>30</v>
      </c>
    </row>
    <row r="28" spans="2:41" x14ac:dyDescent="0.3">
      <c r="C28" t="s">
        <v>185</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310</v>
      </c>
      <c r="AL30" s="28">
        <v>50</v>
      </c>
      <c r="AM30" s="28">
        <v>530</v>
      </c>
      <c r="AN30" s="28">
        <f>表5[[#This Row],[伤害加成]]*IF(AL30&gt;=25, 1 + (MIN(13,(AL30-18)/3.5) - 1) * (MIN(13,(AL30-18)/3.5)  - 1) / 100 + 0.05 * (MIN(13,(AL30-18)/3.5)  - 1),1)-表5[[#This Row],[伤害加成]]</f>
        <v>567.20816326530621</v>
      </c>
      <c r="AO30" s="28">
        <v>120</v>
      </c>
    </row>
    <row r="31" spans="2:41" x14ac:dyDescent="0.3">
      <c r="C31" t="s">
        <v>400</v>
      </c>
      <c r="AK31" s="2" t="s">
        <v>276</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337</v>
      </c>
      <c r="AL32" s="2" t="s">
        <v>396</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S29"/>
  <sheetViews>
    <sheetView zoomScaleNormal="100" workbookViewId="0">
      <selection activeCell="F23" sqref="F23"/>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8.08203125" customWidth="1"/>
    <col min="8" max="8" width="7.83203125" customWidth="1"/>
    <col min="9" max="9" width="7.75" customWidth="1"/>
    <col min="10" max="10" width="7.6640625" customWidth="1"/>
    <col min="11" max="11" width="11.58203125" customWidth="1"/>
    <col min="12" max="12" width="12.08203125" customWidth="1"/>
    <col min="18" max="18" width="15.33203125" customWidth="1"/>
    <col min="19" max="19" width="15.6640625" customWidth="1"/>
  </cols>
  <sheetData>
    <row r="1" spans="1:19" x14ac:dyDescent="0.3">
      <c r="A1" t="s">
        <v>188</v>
      </c>
      <c r="D1" t="s">
        <v>46</v>
      </c>
      <c r="E1" t="s">
        <v>191</v>
      </c>
      <c r="H1" t="s">
        <v>192</v>
      </c>
      <c r="I1" t="s">
        <v>193</v>
      </c>
      <c r="J1" t="s">
        <v>194</v>
      </c>
      <c r="K1" t="s">
        <v>195</v>
      </c>
      <c r="L1" t="s">
        <v>165</v>
      </c>
      <c r="N1" t="s">
        <v>224</v>
      </c>
    </row>
    <row r="2" spans="1:19" x14ac:dyDescent="0.3">
      <c r="A2" t="s">
        <v>187</v>
      </c>
      <c r="B2" s="10" t="s">
        <v>49</v>
      </c>
      <c r="C2" s="10" t="s">
        <v>203</v>
      </c>
      <c r="D2" s="8" t="s">
        <v>14</v>
      </c>
      <c r="E2" s="8" t="s">
        <v>112</v>
      </c>
      <c r="F2" s="8" t="s">
        <v>167</v>
      </c>
      <c r="G2" s="8" t="s">
        <v>168</v>
      </c>
      <c r="H2" s="8" t="s">
        <v>169</v>
      </c>
      <c r="I2" s="8" t="s">
        <v>170</v>
      </c>
      <c r="J2" s="8" t="s">
        <v>171</v>
      </c>
      <c r="K2" s="8" t="s">
        <v>172</v>
      </c>
      <c r="L2" s="8" t="s">
        <v>12</v>
      </c>
      <c r="M2" s="11" t="s">
        <v>152</v>
      </c>
      <c r="N2" s="14" t="s">
        <v>173</v>
      </c>
      <c r="O2" s="14" t="s">
        <v>174</v>
      </c>
      <c r="P2" s="14" t="s">
        <v>175</v>
      </c>
      <c r="Q2" s="11" t="s">
        <v>154</v>
      </c>
      <c r="R2" s="14" t="s">
        <v>178</v>
      </c>
      <c r="S2" s="14" t="s">
        <v>179</v>
      </c>
    </row>
    <row r="3" spans="1:19" x14ac:dyDescent="0.3">
      <c r="B3" s="2" t="s">
        <v>176</v>
      </c>
      <c r="C3" t="s">
        <v>182</v>
      </c>
      <c r="D3">
        <v>10</v>
      </c>
      <c r="E3">
        <v>70</v>
      </c>
      <c r="F3">
        <v>50</v>
      </c>
      <c r="G3">
        <v>20</v>
      </c>
      <c r="H3">
        <v>10</v>
      </c>
      <c r="I3">
        <v>4</v>
      </c>
      <c r="J3">
        <v>0</v>
      </c>
      <c r="K3">
        <v>0</v>
      </c>
      <c r="L3">
        <v>0</v>
      </c>
      <c r="N3">
        <f>表2_2[[#This Row],[防御]]*2+表2_2[[#This Row],[HP]]+表2_2[[#This Row],[MP]]+表2_2[[#This Row],[伤害加成]]*3+表2_2[[#This Row],[空手加成]]*4+表2_2[[#This Row],[法抗]]</f>
        <v>240</v>
      </c>
      <c r="O3">
        <f>表2_2[[#This Row],[限制等级]]*20+表2_2[[#This Row],[重量]]*10</f>
        <v>240</v>
      </c>
      <c r="P3">
        <f t="shared" ref="P3:P9" si="0">O3*1.25^L3</f>
        <v>240</v>
      </c>
      <c r="R3">
        <f>10+表2_2[[#This Row],[限制等级]]*0.2</f>
        <v>12</v>
      </c>
      <c r="S3">
        <f>25+表2_2[[#This Row],[限制等级]]*0.2</f>
        <v>27</v>
      </c>
    </row>
    <row r="4" spans="1:19" x14ac:dyDescent="0.3">
      <c r="B4" s="3"/>
      <c r="C4" t="s">
        <v>181</v>
      </c>
      <c r="D4" s="3">
        <v>18</v>
      </c>
      <c r="E4" s="3">
        <v>135</v>
      </c>
      <c r="F4" s="3">
        <v>80</v>
      </c>
      <c r="G4" s="3">
        <v>30</v>
      </c>
      <c r="H4" s="3">
        <v>20</v>
      </c>
      <c r="I4" s="3">
        <v>8</v>
      </c>
      <c r="J4" s="3">
        <v>0</v>
      </c>
      <c r="K4" s="3">
        <v>10</v>
      </c>
      <c r="L4" s="3">
        <v>0</v>
      </c>
      <c r="N4">
        <f>表2_2[[#This Row],[防御]]*2+表2_2[[#This Row],[HP]]+表2_2[[#This Row],[MP]]+表2_2[[#This Row],[伤害加成]]*3+表2_2[[#This Row],[空手加成]]*4+表2_2[[#This Row],[法抗]]</f>
        <v>450</v>
      </c>
      <c r="O4">
        <f>表2_2[[#This Row],[限制等级]]*20+表2_2[[#This Row],[重量]]*10</f>
        <v>440</v>
      </c>
      <c r="P4">
        <f t="shared" si="0"/>
        <v>440</v>
      </c>
      <c r="R4">
        <f>10+表2_2[[#This Row],[限制等级]]*0.2</f>
        <v>13.6</v>
      </c>
      <c r="S4">
        <f>25+表2_2[[#This Row],[限制等级]]*0.2</f>
        <v>28.6</v>
      </c>
    </row>
    <row r="5" spans="1:19" x14ac:dyDescent="0.3">
      <c r="B5" s="3"/>
      <c r="C5" t="s">
        <v>269</v>
      </c>
      <c r="D5" s="3">
        <v>21</v>
      </c>
      <c r="E5" s="3">
        <v>160</v>
      </c>
      <c r="F5" s="3">
        <v>60</v>
      </c>
      <c r="G5" s="3">
        <v>35</v>
      </c>
      <c r="H5" s="3">
        <v>45</v>
      </c>
      <c r="I5" s="3">
        <v>2</v>
      </c>
      <c r="J5" s="3">
        <v>0</v>
      </c>
      <c r="K5" s="3">
        <v>0</v>
      </c>
      <c r="L5" s="3">
        <v>1</v>
      </c>
      <c r="N5">
        <f>表2_2[[#This Row],[防御]]*2+表2_2[[#This Row],[HP]]+表2_2[[#This Row],[MP]]+表2_2[[#This Row],[伤害加成]]*3+表2_2[[#This Row],[空手加成]]*4+表2_2[[#This Row],[法抗]]</f>
        <v>550</v>
      </c>
      <c r="O5">
        <f>表2_2[[#This Row],[限制等级]]*20+表2_2[[#This Row],[重量]]*10</f>
        <v>440</v>
      </c>
      <c r="P5">
        <f t="shared" si="0"/>
        <v>550</v>
      </c>
      <c r="R5">
        <f>10+表2_2[[#This Row],[限制等级]]*0.2</f>
        <v>14.2</v>
      </c>
      <c r="S5">
        <f>25+表2_2[[#This Row],[限制等级]]*0.2</f>
        <v>29.2</v>
      </c>
    </row>
    <row r="6" spans="1:19" x14ac:dyDescent="0.3">
      <c r="A6" s="2" t="s">
        <v>148</v>
      </c>
      <c r="B6" s="2"/>
      <c r="C6" t="s">
        <v>180</v>
      </c>
      <c r="D6" s="3">
        <v>20</v>
      </c>
      <c r="E6" s="3">
        <v>250</v>
      </c>
      <c r="F6" s="3">
        <v>250</v>
      </c>
      <c r="G6" s="3">
        <v>0</v>
      </c>
      <c r="H6" s="3">
        <v>0</v>
      </c>
      <c r="I6" s="3">
        <v>10</v>
      </c>
      <c r="J6" s="3">
        <v>50</v>
      </c>
      <c r="K6" s="3">
        <v>0</v>
      </c>
      <c r="L6" s="3">
        <v>3</v>
      </c>
      <c r="N6">
        <f>表2_2[[#This Row],[防御]]*2+表2_2[[#This Row],[HP]]+表2_2[[#This Row],[MP]]+表2_2[[#This Row],[伤害加成]]*3+表2_2[[#This Row],[空手加成]]*4+表2_2[[#This Row],[法抗]]</f>
        <v>950</v>
      </c>
      <c r="O6">
        <f>表2_2[[#This Row],[限制等级]]*20+表2_2[[#This Row],[重量]]*10</f>
        <v>500</v>
      </c>
      <c r="P6">
        <f t="shared" si="0"/>
        <v>976.5625</v>
      </c>
      <c r="R6">
        <f>10+表2_2[[#This Row],[限制等级]]*0.2</f>
        <v>14</v>
      </c>
      <c r="S6">
        <f>25+表2_2[[#This Row],[限制等级]]*0.2</f>
        <v>29</v>
      </c>
    </row>
    <row r="7" spans="1:19" x14ac:dyDescent="0.3">
      <c r="A7" s="6" t="s">
        <v>150</v>
      </c>
      <c r="B7" s="3"/>
      <c r="C7" s="19" t="s">
        <v>189</v>
      </c>
      <c r="D7" s="3">
        <v>28</v>
      </c>
      <c r="E7" s="3">
        <v>200</v>
      </c>
      <c r="F7" s="3">
        <v>100</v>
      </c>
      <c r="G7" s="3">
        <v>100</v>
      </c>
      <c r="H7" s="3">
        <v>60</v>
      </c>
      <c r="I7" s="3">
        <v>8</v>
      </c>
      <c r="J7" s="3">
        <v>0</v>
      </c>
      <c r="K7" s="3">
        <v>20</v>
      </c>
      <c r="L7" s="3">
        <v>1</v>
      </c>
      <c r="N7">
        <f>表2_2[[#This Row],[防御]]*2+表2_2[[#This Row],[HP]]+表2_2[[#This Row],[MP]]+表2_2[[#This Row],[伤害加成]]*3+表2_2[[#This Row],[空手加成]]*4+表2_2[[#This Row],[法抗]]</f>
        <v>800</v>
      </c>
      <c r="O7">
        <f>表2_2[[#This Row],[限制等级]]*20+表2_2[[#This Row],[重量]]*10</f>
        <v>640</v>
      </c>
      <c r="P7">
        <f t="shared" si="0"/>
        <v>800</v>
      </c>
      <c r="R7">
        <f>10+表2_2[[#This Row],[限制等级]]*0.2</f>
        <v>15.600000000000001</v>
      </c>
      <c r="S7">
        <f>25+表2_2[[#This Row],[限制等级]]*0.2</f>
        <v>30.6</v>
      </c>
    </row>
    <row r="8" spans="1:19" x14ac:dyDescent="0.3">
      <c r="A8" s="6" t="s">
        <v>151</v>
      </c>
      <c r="B8" s="3"/>
      <c r="C8" t="s">
        <v>190</v>
      </c>
      <c r="D8" s="3">
        <v>31</v>
      </c>
      <c r="E8" s="3">
        <v>180</v>
      </c>
      <c r="F8" s="3">
        <v>75</v>
      </c>
      <c r="G8" s="3">
        <v>35</v>
      </c>
      <c r="H8" s="3">
        <v>30</v>
      </c>
      <c r="I8" s="3">
        <v>-5</v>
      </c>
      <c r="J8" s="3">
        <v>0</v>
      </c>
      <c r="K8" s="3">
        <v>0</v>
      </c>
      <c r="L8" s="3">
        <v>0</v>
      </c>
      <c r="N8">
        <f>表2_2[[#This Row],[防御]]*2+表2_2[[#This Row],[HP]]+表2_2[[#This Row],[MP]]+表2_2[[#This Row],[伤害加成]]*3+表2_2[[#This Row],[空手加成]]*4+表2_2[[#This Row],[法抗]]</f>
        <v>560</v>
      </c>
      <c r="O8">
        <f>表2_2[[#This Row],[限制等级]]*20+表2_2[[#This Row],[重量]]*10</f>
        <v>570</v>
      </c>
      <c r="P8">
        <f t="shared" si="0"/>
        <v>570</v>
      </c>
      <c r="R8">
        <f>10+表2_2[[#This Row],[限制等级]]*0.2</f>
        <v>16.2</v>
      </c>
      <c r="S8">
        <f>25+表2_2[[#This Row],[限制等级]]*0.2</f>
        <v>31.2</v>
      </c>
    </row>
    <row r="9" spans="1:19" x14ac:dyDescent="0.3">
      <c r="A9" s="6" t="s">
        <v>158</v>
      </c>
      <c r="B9" s="3"/>
      <c r="C9" t="s">
        <v>265</v>
      </c>
      <c r="D9" s="3">
        <v>33</v>
      </c>
      <c r="E9" s="3">
        <v>230</v>
      </c>
      <c r="F9" s="3">
        <v>130</v>
      </c>
      <c r="G9" s="3">
        <v>50</v>
      </c>
      <c r="H9" s="3">
        <v>100</v>
      </c>
      <c r="I9" s="3">
        <v>10</v>
      </c>
      <c r="J9" s="3">
        <v>0</v>
      </c>
      <c r="K9" s="3">
        <v>20</v>
      </c>
      <c r="L9" s="3">
        <v>1</v>
      </c>
      <c r="N9">
        <f>表2_2[[#This Row],[防御]]*2+表2_2[[#This Row],[HP]]+表2_2[[#This Row],[MP]]+表2_2[[#This Row],[伤害加成]]*3+表2_2[[#This Row],[空手加成]]*4+表2_2[[#This Row],[法抗]]</f>
        <v>960</v>
      </c>
      <c r="O9">
        <f>表2_2[[#This Row],[限制等级]]*20+表2_2[[#This Row],[重量]]*10</f>
        <v>760</v>
      </c>
      <c r="P9">
        <f t="shared" si="0"/>
        <v>950</v>
      </c>
      <c r="R9">
        <f>10+表2_2[[#This Row],[限制等级]]*0.2</f>
        <v>16.600000000000001</v>
      </c>
      <c r="S9">
        <f>25+表2_2[[#This Row],[限制等级]]*0.2</f>
        <v>31.6</v>
      </c>
    </row>
    <row r="10" spans="1:19" x14ac:dyDescent="0.3">
      <c r="A10" s="15" t="s">
        <v>149</v>
      </c>
      <c r="B10" s="3"/>
      <c r="C10" s="1" t="s">
        <v>177</v>
      </c>
      <c r="D10" s="12">
        <v>35</v>
      </c>
      <c r="E10" s="12">
        <v>180</v>
      </c>
      <c r="F10" s="12">
        <v>100</v>
      </c>
      <c r="G10" s="12">
        <v>55</v>
      </c>
      <c r="H10" s="12">
        <v>60</v>
      </c>
      <c r="I10" s="12">
        <v>0.5</v>
      </c>
      <c r="J10" s="12">
        <v>0</v>
      </c>
      <c r="K10" s="12">
        <v>10</v>
      </c>
      <c r="L10" s="12">
        <v>0</v>
      </c>
      <c r="N10" s="16">
        <f>表2_2[[#This Row],[防御]]*2+表2_2[[#This Row],[HP]]+表2_2[[#This Row],[MP]]+表2_2[[#This Row],[伤害加成]]*3+表2_2[[#This Row],[空手加成]]*4+表2_2[[#This Row],[法抗]]</f>
        <v>705</v>
      </c>
      <c r="O10">
        <f>表2_2[[#This Row],[限制等级]]*20+表2_2[[#This Row],[重量]]*10</f>
        <v>705</v>
      </c>
      <c r="P10" s="16">
        <f>O10*1.25^L10</f>
        <v>705</v>
      </c>
      <c r="R10">
        <f>10+表2_2[[#This Row],[限制等级]]*0.2</f>
        <v>17</v>
      </c>
      <c r="S10">
        <f>25+表2_2[[#This Row],[限制等级]]*0.2</f>
        <v>32</v>
      </c>
    </row>
    <row r="11" spans="1:19" x14ac:dyDescent="0.3">
      <c r="A11" s="15" t="s">
        <v>159</v>
      </c>
      <c r="B11" s="3"/>
      <c r="D11" s="3"/>
      <c r="E11" s="3"/>
      <c r="F11" s="3"/>
      <c r="G11" s="3"/>
      <c r="H11" s="3"/>
      <c r="I11" s="3"/>
      <c r="J11" s="3"/>
      <c r="K11" s="3"/>
      <c r="L11" s="3"/>
    </row>
    <row r="12" spans="1:19" x14ac:dyDescent="0.3">
      <c r="A12" s="15" t="s">
        <v>201</v>
      </c>
      <c r="B12" s="3"/>
      <c r="C12" s="2" t="s">
        <v>183</v>
      </c>
      <c r="D12" s="3"/>
      <c r="E12" s="3"/>
      <c r="F12" s="3"/>
      <c r="G12" s="3"/>
      <c r="H12" s="3"/>
      <c r="I12" s="3"/>
      <c r="J12" s="3"/>
      <c r="K12" s="3"/>
      <c r="L12" s="3"/>
    </row>
    <row r="13" spans="1:19" x14ac:dyDescent="0.3">
      <c r="B13" s="2"/>
      <c r="D13" s="3"/>
      <c r="E13" s="3"/>
      <c r="F13" s="3"/>
      <c r="G13" s="3"/>
      <c r="H13" s="3"/>
      <c r="I13" s="3"/>
      <c r="J13" s="3"/>
      <c r="K13" s="3"/>
      <c r="L13" s="3"/>
    </row>
    <row r="14" spans="1:19" x14ac:dyDescent="0.3">
      <c r="B14" s="2" t="s">
        <v>199</v>
      </c>
      <c r="C14" t="s">
        <v>200</v>
      </c>
      <c r="D14">
        <v>20</v>
      </c>
      <c r="E14">
        <v>90</v>
      </c>
      <c r="F14">
        <v>120</v>
      </c>
      <c r="G14">
        <v>80</v>
      </c>
      <c r="H14">
        <v>35</v>
      </c>
      <c r="I14">
        <v>0</v>
      </c>
      <c r="J14">
        <v>0</v>
      </c>
      <c r="K14">
        <v>0</v>
      </c>
      <c r="L14">
        <v>1</v>
      </c>
      <c r="N14">
        <f>表2_2[[#This Row],[防御]]*2+表2_2[[#This Row],[HP]]+表2_2[[#This Row],[MP]]+表2_2[[#This Row],[伤害加成]]*3+表2_2[[#This Row],[空手加成]]*4+表2_2[[#This Row],[法抗]]</f>
        <v>485</v>
      </c>
      <c r="O14">
        <f>表2_2[[#This Row],[限制等级]]*20</f>
        <v>400</v>
      </c>
      <c r="P14">
        <f t="shared" ref="P14:P15" si="1">O14*1.25^L14</f>
        <v>500</v>
      </c>
      <c r="R14">
        <v>0</v>
      </c>
      <c r="S14">
        <v>0</v>
      </c>
    </row>
    <row r="15" spans="1:19" x14ac:dyDescent="0.3">
      <c r="B15" s="3"/>
      <c r="C15" s="1" t="s">
        <v>266</v>
      </c>
      <c r="D15" s="12">
        <v>60</v>
      </c>
      <c r="E15" s="12">
        <v>200</v>
      </c>
      <c r="F15" s="12">
        <v>300</v>
      </c>
      <c r="G15" s="12">
        <v>300</v>
      </c>
      <c r="H15" s="12">
        <v>70</v>
      </c>
      <c r="I15" s="12">
        <v>0</v>
      </c>
      <c r="J15" s="12">
        <v>0</v>
      </c>
      <c r="K15" s="12">
        <v>0</v>
      </c>
      <c r="L15" s="12">
        <v>0</v>
      </c>
      <c r="N15" s="16">
        <f>表2_2[[#This Row],[防御]]*2+表2_2[[#This Row],[HP]]+表2_2[[#This Row],[MP]]+表2_2[[#This Row],[伤害加成]]*3+表2_2[[#This Row],[空手加成]]*4+表2_2[[#This Row],[法抗]]</f>
        <v>1210</v>
      </c>
      <c r="O15">
        <f>表2_2[[#This Row],[限制等级]]*20</f>
        <v>1200</v>
      </c>
      <c r="P15" s="16">
        <f t="shared" si="1"/>
        <v>1200</v>
      </c>
      <c r="R15">
        <v>0</v>
      </c>
      <c r="S15">
        <v>0</v>
      </c>
    </row>
    <row r="16" spans="1:19" x14ac:dyDescent="0.3">
      <c r="B16" s="3"/>
      <c r="C16" s="1"/>
      <c r="D16" s="1"/>
      <c r="E16" s="1"/>
      <c r="F16" s="1"/>
      <c r="G16" s="1"/>
      <c r="H16" s="1"/>
      <c r="I16" s="1"/>
      <c r="J16" s="1"/>
      <c r="K16" s="1"/>
      <c r="L16" s="1"/>
      <c r="M16" s="1"/>
      <c r="N16" s="1"/>
      <c r="O16" s="1"/>
      <c r="P16" s="1"/>
      <c r="Q16" s="1"/>
      <c r="R16" s="1"/>
      <c r="S16" s="1"/>
    </row>
    <row r="17" spans="2:19" x14ac:dyDescent="0.3">
      <c r="B17" s="3"/>
      <c r="C17" s="2" t="s">
        <v>202</v>
      </c>
      <c r="D17" s="1"/>
      <c r="E17" s="1"/>
      <c r="F17" s="1"/>
      <c r="G17" s="1"/>
      <c r="H17" s="1"/>
      <c r="I17" s="1"/>
      <c r="J17" s="1"/>
      <c r="K17" s="1"/>
      <c r="L17" s="1"/>
      <c r="M17" s="1"/>
      <c r="N17" s="1"/>
      <c r="O17" s="1"/>
      <c r="P17" s="1"/>
      <c r="Q17" s="1"/>
      <c r="R17" s="1"/>
      <c r="S17" s="1"/>
    </row>
    <row r="18" spans="2:19" x14ac:dyDescent="0.3">
      <c r="B18" s="3"/>
    </row>
    <row r="19" spans="2:19" x14ac:dyDescent="0.3">
      <c r="B19" s="4" t="s">
        <v>40</v>
      </c>
      <c r="C19" s="2" t="s">
        <v>197</v>
      </c>
    </row>
    <row r="20" spans="2:19" x14ac:dyDescent="0.3">
      <c r="B20" s="3"/>
      <c r="C20" t="s">
        <v>213</v>
      </c>
    </row>
    <row r="21" spans="2:19" x14ac:dyDescent="0.3">
      <c r="B21" s="3"/>
    </row>
    <row r="22" spans="2:19" x14ac:dyDescent="0.3">
      <c r="B22" s="4" t="s">
        <v>41</v>
      </c>
      <c r="C22" t="s">
        <v>330</v>
      </c>
    </row>
    <row r="23" spans="2:19" x14ac:dyDescent="0.3">
      <c r="C23" t="s">
        <v>205</v>
      </c>
    </row>
    <row r="24" spans="2:19" x14ac:dyDescent="0.3">
      <c r="C24" t="s">
        <v>48</v>
      </c>
    </row>
    <row r="25" spans="2:19" x14ac:dyDescent="0.3">
      <c r="C25" t="s">
        <v>186</v>
      </c>
    </row>
    <row r="26" spans="2:19" x14ac:dyDescent="0.3">
      <c r="C26" t="s">
        <v>329</v>
      </c>
    </row>
    <row r="27" spans="2:19" x14ac:dyDescent="0.3">
      <c r="C27" t="s">
        <v>198</v>
      </c>
    </row>
    <row r="28" spans="2:19" x14ac:dyDescent="0.3">
      <c r="C28" t="s">
        <v>196</v>
      </c>
    </row>
    <row r="29" spans="2:19" x14ac:dyDescent="0.3">
      <c r="C29" t="s">
        <v>331</v>
      </c>
    </row>
  </sheetData>
  <phoneticPr fontId="1" type="noConversion"/>
  <pageMargins left="0.7" right="0.7" top="0.75" bottom="0.75" header="0.3" footer="0.3"/>
  <pageSetup paperSize="9" orientation="portrait" r:id="rId1"/>
  <ignoredErrors>
    <ignoredError sqref="R14:S14 R15:S15"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278</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336</v>
      </c>
    </row>
    <row r="11" spans="1:10" x14ac:dyDescent="0.3">
      <c r="C11" s="2" t="s">
        <v>325</v>
      </c>
    </row>
    <row r="12" spans="1:10" x14ac:dyDescent="0.3">
      <c r="C12" t="s">
        <v>338</v>
      </c>
    </row>
    <row r="13" spans="1:10" x14ac:dyDescent="0.3">
      <c r="C13" s="1" t="s">
        <v>328</v>
      </c>
    </row>
    <row r="15" spans="1:10" x14ac:dyDescent="0.3">
      <c r="C15" t="s">
        <v>332</v>
      </c>
      <c r="F15" t="s">
        <v>14</v>
      </c>
      <c r="G15" t="s">
        <v>334</v>
      </c>
      <c r="J15" t="s">
        <v>333</v>
      </c>
    </row>
    <row r="16" spans="1:10" x14ac:dyDescent="0.3">
      <c r="C16" t="s">
        <v>335</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3"/>
  <sheetViews>
    <sheetView tabSelected="1" workbookViewId="0">
      <selection activeCell="E16" sqref="E16"/>
    </sheetView>
  </sheetViews>
  <sheetFormatPr defaultRowHeight="14" x14ac:dyDescent="0.3"/>
  <cols>
    <col min="1" max="1" width="16.25" customWidth="1"/>
    <col min="3" max="3" width="9.83203125" customWidth="1"/>
    <col min="7" max="7" width="10.33203125" customWidth="1"/>
    <col min="8" max="8" width="11.4140625" customWidth="1"/>
  </cols>
  <sheetData>
    <row r="1" spans="1:11" x14ac:dyDescent="0.3">
      <c r="A1" t="s">
        <v>29</v>
      </c>
      <c r="B1" s="2" t="s">
        <v>327</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s="40">
        <f>1.5*E5*1.25^H5*SQRT(G5/30)/(F5+0.5)</f>
        <v>2640.6704633232384</v>
      </c>
    </row>
    <row r="8" spans="1:11" x14ac:dyDescent="0.3">
      <c r="C8" t="s">
        <v>140</v>
      </c>
    </row>
    <row r="11" spans="1:11" x14ac:dyDescent="0.3">
      <c r="B11" t="s">
        <v>32</v>
      </c>
      <c r="D11" s="2" t="s">
        <v>30</v>
      </c>
      <c r="E11" s="2" t="s">
        <v>33</v>
      </c>
      <c r="F11" s="2" t="s">
        <v>14</v>
      </c>
      <c r="G11" s="2"/>
      <c r="H11" s="2" t="s">
        <v>31</v>
      </c>
    </row>
    <row r="12" spans="1:11" x14ac:dyDescent="0.3">
      <c r="D12">
        <v>1000</v>
      </c>
      <c r="E12">
        <v>1000</v>
      </c>
      <c r="F12">
        <v>1</v>
      </c>
      <c r="H12">
        <f>IF(E12 &gt; 800 +F12 * 200, 800 +F12 * 200 + (E12 - 800 -F12 * 200)/10,E12 )</f>
        <v>1000</v>
      </c>
    </row>
    <row r="13" spans="1:11" x14ac:dyDescent="0.3">
      <c r="C13" s="1" t="s">
        <v>54</v>
      </c>
      <c r="D13">
        <v>6000</v>
      </c>
      <c r="E13">
        <v>6000</v>
      </c>
      <c r="F13">
        <v>30</v>
      </c>
      <c r="H13" s="40">
        <f>IF(E13 &gt; 800 +F13 * 200, 800 +F13 * 200 + (E13 - 800 -F13 * 200)/10,E13 )</f>
        <v>6000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278</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281</v>
      </c>
      <c r="D11" t="s">
        <v>323</v>
      </c>
    </row>
    <row r="12" spans="1:14" x14ac:dyDescent="0.3">
      <c r="C12" t="s">
        <v>321</v>
      </c>
      <c r="D12" t="s">
        <v>322</v>
      </c>
    </row>
    <row r="13" spans="1:14" x14ac:dyDescent="0.3">
      <c r="D13" t="s">
        <v>326</v>
      </c>
    </row>
    <row r="14" spans="1:14" x14ac:dyDescent="0.3">
      <c r="C14" t="s">
        <v>324</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268</v>
      </c>
    </row>
    <row r="28" spans="3:14" x14ac:dyDescent="0.3">
      <c r="D28" t="s">
        <v>130</v>
      </c>
    </row>
    <row r="29" spans="3:14" x14ac:dyDescent="0.3">
      <c r="D29" t="s">
        <v>319</v>
      </c>
    </row>
    <row r="30" spans="3:14" x14ac:dyDescent="0.3">
      <c r="D30" t="s">
        <v>320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B10" sqref="B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207</v>
      </c>
      <c r="D1" t="s">
        <v>46</v>
      </c>
      <c r="E1" s="21" t="s">
        <v>208</v>
      </c>
      <c r="F1" t="s">
        <v>43</v>
      </c>
      <c r="G1" t="s">
        <v>44</v>
      </c>
      <c r="H1" t="s">
        <v>45</v>
      </c>
      <c r="N1" t="s">
        <v>225</v>
      </c>
    </row>
    <row r="2" spans="1:17" x14ac:dyDescent="0.3">
      <c r="B2" s="10" t="s">
        <v>49</v>
      </c>
      <c r="C2" s="10" t="s">
        <v>203</v>
      </c>
      <c r="D2" s="8" t="s">
        <v>14</v>
      </c>
      <c r="E2" s="20" t="s">
        <v>36</v>
      </c>
      <c r="F2" s="8" t="s">
        <v>218</v>
      </c>
      <c r="G2" s="8" t="s">
        <v>219</v>
      </c>
      <c r="H2" s="8" t="s">
        <v>216</v>
      </c>
      <c r="I2" s="8" t="s">
        <v>217</v>
      </c>
      <c r="J2" s="8" t="s">
        <v>252</v>
      </c>
      <c r="K2" s="11" t="s">
        <v>226</v>
      </c>
      <c r="L2" s="11" t="s">
        <v>228</v>
      </c>
      <c r="M2" s="11" t="s">
        <v>227</v>
      </c>
      <c r="N2" s="26" t="s">
        <v>209</v>
      </c>
      <c r="O2" s="26" t="s">
        <v>210</v>
      </c>
      <c r="P2" s="26" t="s">
        <v>211</v>
      </c>
      <c r="Q2" s="11" t="s">
        <v>154</v>
      </c>
    </row>
    <row r="3" spans="1:17" x14ac:dyDescent="0.3">
      <c r="B3" s="2" t="s">
        <v>176</v>
      </c>
      <c r="C3" t="s">
        <v>233</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50000</v>
      </c>
      <c r="G4" s="12">
        <v>500</v>
      </c>
      <c r="H4" s="12">
        <v>0</v>
      </c>
      <c r="I4" s="12">
        <v>0</v>
      </c>
      <c r="J4" s="12">
        <v>4000</v>
      </c>
      <c r="N4" s="17">
        <f>表2_4[[#This Row],[金币需求]]+表2_4[[#This Row],[K点需求]]*30+表2_4[[#This Row],[材料价格]]+表2_4[[#This Row],[装备折算价格]]+表2_4[[#This Row],[掉落物折算价格]]</f>
        <v>69000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242</v>
      </c>
      <c r="D6" s="2" t="s">
        <v>263</v>
      </c>
      <c r="E6" s="23"/>
      <c r="F6" s="3"/>
      <c r="G6" s="3"/>
      <c r="H6" s="3"/>
      <c r="I6" s="3"/>
      <c r="J6" s="3"/>
    </row>
    <row r="7" spans="1:17" x14ac:dyDescent="0.3">
      <c r="A7" s="6" t="s">
        <v>151</v>
      </c>
      <c r="B7" s="3"/>
      <c r="D7" s="3"/>
      <c r="E7" s="23"/>
      <c r="F7" s="3"/>
      <c r="G7" s="3"/>
      <c r="H7" s="3"/>
      <c r="I7" s="3"/>
      <c r="J7" s="3"/>
    </row>
    <row r="8" spans="1:17" x14ac:dyDescent="0.3">
      <c r="A8" s="6" t="s">
        <v>158</v>
      </c>
      <c r="B8" s="2" t="s">
        <v>223</v>
      </c>
      <c r="D8" s="8" t="s">
        <v>220</v>
      </c>
      <c r="E8" s="20" t="s">
        <v>221</v>
      </c>
      <c r="F8" s="8" t="s">
        <v>222</v>
      </c>
      <c r="G8" s="3"/>
      <c r="I8" s="3"/>
      <c r="J8" s="3"/>
      <c r="N8" s="14" t="s">
        <v>216</v>
      </c>
    </row>
    <row r="9" spans="1:17" x14ac:dyDescent="0.3">
      <c r="A9" s="15" t="s">
        <v>149</v>
      </c>
      <c r="B9" s="3"/>
      <c r="C9" t="s">
        <v>206</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387</v>
      </c>
      <c r="B11" s="3"/>
      <c r="D11" s="3"/>
      <c r="E11" s="23"/>
      <c r="F11" s="3"/>
      <c r="G11" s="3"/>
      <c r="H11" s="3"/>
      <c r="I11" s="3"/>
      <c r="J11" s="3"/>
    </row>
    <row r="12" spans="1:17" x14ac:dyDescent="0.3">
      <c r="B12" s="2" t="s">
        <v>229</v>
      </c>
      <c r="D12" s="20" t="s">
        <v>231</v>
      </c>
      <c r="E12" s="20" t="s">
        <v>14</v>
      </c>
      <c r="F12" s="8" t="s">
        <v>36</v>
      </c>
      <c r="G12" s="8" t="s">
        <v>235</v>
      </c>
      <c r="H12" s="8" t="s">
        <v>88</v>
      </c>
      <c r="I12" s="8" t="s">
        <v>230</v>
      </c>
      <c r="J12" s="14" t="s">
        <v>236</v>
      </c>
      <c r="K12" s="3"/>
      <c r="L12" s="3"/>
      <c r="M12" s="3"/>
      <c r="N12" s="14" t="s">
        <v>217</v>
      </c>
      <c r="O12" s="2"/>
    </row>
    <row r="13" spans="1:17" x14ac:dyDescent="0.3">
      <c r="B13" s="2"/>
      <c r="C13" t="s">
        <v>233</v>
      </c>
      <c r="D13" t="s">
        <v>232</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234</v>
      </c>
      <c r="E14" s="21">
        <v>0</v>
      </c>
      <c r="F14">
        <v>0</v>
      </c>
      <c r="G14">
        <v>1</v>
      </c>
      <c r="H14">
        <v>1</v>
      </c>
      <c r="I14">
        <v>0</v>
      </c>
      <c r="J14" s="3">
        <f>表2_4[[#This Row],[装备折算价格]]*0.25 * E14*3900*(1.6)^(F14)*H14/G14</f>
        <v>0</v>
      </c>
    </row>
    <row r="15" spans="1:17" x14ac:dyDescent="0.3">
      <c r="B15" s="3"/>
      <c r="C15" s="1" t="s">
        <v>177</v>
      </c>
      <c r="D15" t="s">
        <v>237</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238</v>
      </c>
      <c r="E16" s="22">
        <v>1</v>
      </c>
      <c r="F16" s="12">
        <v>0</v>
      </c>
      <c r="G16" s="12">
        <v>1</v>
      </c>
      <c r="H16" s="12">
        <v>1</v>
      </c>
      <c r="I16" s="12">
        <v>0</v>
      </c>
      <c r="J16" s="3">
        <f>表2_4[[#This Row],[装备折算价格]]*0.25 * E16*3900*(1.6)^(F16)*H16/G16</f>
        <v>0</v>
      </c>
    </row>
    <row r="17" spans="2:17" x14ac:dyDescent="0.3">
      <c r="B17" s="3"/>
      <c r="D17" t="s">
        <v>239</v>
      </c>
      <c r="E17" s="22">
        <v>1</v>
      </c>
      <c r="F17" s="12">
        <v>0</v>
      </c>
      <c r="G17" s="12">
        <v>1</v>
      </c>
      <c r="H17" s="12">
        <v>1</v>
      </c>
      <c r="I17" s="12">
        <v>0</v>
      </c>
      <c r="J17" s="3">
        <f>表2_4[[#This Row],[装备折算价格]]*0.25 * E17*3900*(1.6)^(F17)*H17/G17</f>
        <v>0</v>
      </c>
    </row>
    <row r="18" spans="2:17" x14ac:dyDescent="0.3">
      <c r="B18" s="3"/>
      <c r="C18" s="2"/>
      <c r="D18" t="s">
        <v>240</v>
      </c>
      <c r="E18" s="22">
        <v>1</v>
      </c>
      <c r="F18" s="12">
        <v>0</v>
      </c>
      <c r="G18" s="12">
        <v>1</v>
      </c>
      <c r="H18" s="12">
        <v>1</v>
      </c>
      <c r="I18" s="12">
        <v>0</v>
      </c>
      <c r="J18" s="3">
        <f>表2_4[[#This Row],[装备折算价格]]*0.25 * E18*3900*(1.6)^(F18)*H18/G18</f>
        <v>0</v>
      </c>
    </row>
    <row r="19" spans="2:17" x14ac:dyDescent="0.3">
      <c r="B19" s="3"/>
      <c r="C19" s="24" t="s">
        <v>242</v>
      </c>
      <c r="D19" s="2" t="s">
        <v>243</v>
      </c>
    </row>
    <row r="20" spans="2:17" x14ac:dyDescent="0.3">
      <c r="B20" s="3"/>
      <c r="D20" s="2" t="s">
        <v>241</v>
      </c>
    </row>
    <row r="21" spans="2:17" x14ac:dyDescent="0.3">
      <c r="B21" s="3"/>
    </row>
    <row r="22" spans="2:17" x14ac:dyDescent="0.3">
      <c r="B22" s="2" t="s">
        <v>386</v>
      </c>
      <c r="D22" s="20" t="s">
        <v>231</v>
      </c>
      <c r="E22" s="20" t="s">
        <v>254</v>
      </c>
      <c r="F22" s="20" t="s">
        <v>244</v>
      </c>
      <c r="G22" s="20" t="s">
        <v>245</v>
      </c>
      <c r="H22" s="20" t="s">
        <v>246</v>
      </c>
      <c r="I22" s="20" t="s">
        <v>247</v>
      </c>
      <c r="J22" s="20" t="s">
        <v>248</v>
      </c>
      <c r="K22" s="25" t="s">
        <v>249</v>
      </c>
      <c r="L22" s="25" t="s">
        <v>250</v>
      </c>
      <c r="N22" s="26" t="s">
        <v>252</v>
      </c>
      <c r="P22" s="26" t="s">
        <v>256</v>
      </c>
      <c r="Q22" s="26" t="s">
        <v>251</v>
      </c>
    </row>
    <row r="23" spans="2:17" x14ac:dyDescent="0.3">
      <c r="B23" s="3"/>
      <c r="C23" t="s">
        <v>233</v>
      </c>
      <c r="D23" t="s">
        <v>259</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260</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261</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262</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242</v>
      </c>
      <c r="D27" s="2" t="s">
        <v>258</v>
      </c>
      <c r="F27" s="21"/>
      <c r="G27" s="21"/>
      <c r="H27" s="21"/>
      <c r="I27" s="21"/>
      <c r="J27" s="21"/>
      <c r="N27" s="3" t="s">
        <v>384</v>
      </c>
    </row>
    <row r="28" spans="2:17" x14ac:dyDescent="0.3">
      <c r="B28" s="3"/>
      <c r="C28" s="24"/>
      <c r="D28" s="2" t="s">
        <v>255</v>
      </c>
      <c r="F28" s="21"/>
      <c r="G28" s="21"/>
      <c r="H28" s="21"/>
      <c r="I28" s="21"/>
      <c r="J28" s="21"/>
    </row>
    <row r="29" spans="2:17" x14ac:dyDescent="0.3">
      <c r="B29" s="3"/>
      <c r="D29" s="2" t="s">
        <v>257</v>
      </c>
    </row>
    <row r="30" spans="2:17" x14ac:dyDescent="0.3">
      <c r="B30" s="4" t="s">
        <v>40</v>
      </c>
      <c r="C30" s="2" t="s">
        <v>212</v>
      </c>
    </row>
    <row r="31" spans="2:17" x14ac:dyDescent="0.3">
      <c r="B31" s="3"/>
      <c r="C31" t="s">
        <v>215</v>
      </c>
    </row>
    <row r="32" spans="2:17" x14ac:dyDescent="0.3">
      <c r="B32" s="3"/>
    </row>
    <row r="33" spans="2:3" x14ac:dyDescent="0.3">
      <c r="B33" s="4" t="s">
        <v>41</v>
      </c>
      <c r="C33" t="s">
        <v>253</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R30"/>
  <sheetViews>
    <sheetView workbookViewId="0">
      <selection activeCell="I20" sqref="I20"/>
    </sheetView>
  </sheetViews>
  <sheetFormatPr defaultRowHeight="14" x14ac:dyDescent="0.3"/>
  <cols>
    <col min="3" max="3" width="13.1640625" customWidth="1"/>
    <col min="8" max="8" width="13.5" customWidth="1"/>
    <col min="9" max="9" width="9.1640625" customWidth="1"/>
    <col min="10" max="10" width="12.6640625" customWidth="1"/>
    <col min="16" max="16" width="5.58203125" customWidth="1"/>
    <col min="17" max="17" width="8.5" customWidth="1"/>
  </cols>
  <sheetData>
    <row r="2" spans="3:18" x14ac:dyDescent="0.3">
      <c r="M2" s="29" t="s">
        <v>382</v>
      </c>
    </row>
    <row r="3" spans="3:18" x14ac:dyDescent="0.3">
      <c r="D3" s="33" t="s">
        <v>244</v>
      </c>
      <c r="E3" s="33" t="s">
        <v>245</v>
      </c>
      <c r="F3" s="33" t="s">
        <v>246</v>
      </c>
      <c r="G3" s="33" t="s">
        <v>344</v>
      </c>
      <c r="H3" s="33" t="s">
        <v>368</v>
      </c>
      <c r="I3" s="33" t="s">
        <v>94</v>
      </c>
      <c r="J3" s="33" t="s">
        <v>369</v>
      </c>
      <c r="K3" s="33" t="s">
        <v>345</v>
      </c>
      <c r="M3" s="35" t="s">
        <v>343</v>
      </c>
      <c r="O3" s="35" t="s">
        <v>342</v>
      </c>
    </row>
    <row r="4" spans="3:18" x14ac:dyDescent="0.3">
      <c r="C4" t="s">
        <v>341</v>
      </c>
      <c r="D4" s="34">
        <v>1.5</v>
      </c>
      <c r="E4" s="27">
        <v>1.5</v>
      </c>
      <c r="F4" s="27">
        <v>1.5</v>
      </c>
      <c r="G4">
        <v>20000</v>
      </c>
      <c r="H4">
        <v>22000</v>
      </c>
      <c r="I4">
        <v>20000</v>
      </c>
      <c r="J4">
        <v>0</v>
      </c>
      <c r="K4">
        <v>0</v>
      </c>
      <c r="M4">
        <f>G4+H4*0.5+I4/D4+IF(D4&gt;3,K4*300/(D4-2),K4*300)+J4*0.5</f>
        <v>44333.333333333336</v>
      </c>
      <c r="O4">
        <f>(D4*13000*E4*F4)</f>
        <v>43875</v>
      </c>
    </row>
    <row r="5" spans="3:18" x14ac:dyDescent="0.3">
      <c r="C5" t="s">
        <v>367</v>
      </c>
      <c r="D5" s="34">
        <v>3.5</v>
      </c>
      <c r="E5" s="27">
        <v>2</v>
      </c>
      <c r="F5" s="27">
        <v>1.5</v>
      </c>
      <c r="G5">
        <v>50000</v>
      </c>
      <c r="H5">
        <v>10000</v>
      </c>
      <c r="I5">
        <v>60000</v>
      </c>
      <c r="J5">
        <v>0</v>
      </c>
      <c r="K5">
        <v>300</v>
      </c>
      <c r="M5">
        <f t="shared" ref="M5:M7" si="0">G5+H5*0.5+I5/D5+IF(D5&gt;3,K5*300/(D5-2),K5*300)+J5*0.5</f>
        <v>132142.85714285716</v>
      </c>
      <c r="O5">
        <f t="shared" ref="O5:O7" si="1">(D5*13000*E5*F5)</f>
        <v>136500</v>
      </c>
    </row>
    <row r="6" spans="3:18" x14ac:dyDescent="0.3">
      <c r="C6" t="s">
        <v>371</v>
      </c>
      <c r="D6" s="34">
        <v>4</v>
      </c>
      <c r="E6" s="27">
        <v>2</v>
      </c>
      <c r="F6" s="27">
        <v>2</v>
      </c>
      <c r="G6">
        <v>50000</v>
      </c>
      <c r="H6">
        <v>4000</v>
      </c>
      <c r="I6">
        <v>50000</v>
      </c>
      <c r="J6">
        <v>260000</v>
      </c>
      <c r="K6">
        <v>0</v>
      </c>
      <c r="M6">
        <f t="shared" si="0"/>
        <v>194500</v>
      </c>
      <c r="O6">
        <f t="shared" si="1"/>
        <v>208000</v>
      </c>
    </row>
    <row r="7" spans="3:18" x14ac:dyDescent="0.3">
      <c r="C7" s="1" t="s">
        <v>340</v>
      </c>
      <c r="D7" s="36">
        <v>1</v>
      </c>
      <c r="E7" s="37">
        <v>1</v>
      </c>
      <c r="F7" s="37">
        <v>1</v>
      </c>
      <c r="G7" s="37">
        <v>0</v>
      </c>
      <c r="H7" s="37">
        <v>0</v>
      </c>
      <c r="I7" s="37">
        <v>0</v>
      </c>
      <c r="J7" s="37">
        <v>0</v>
      </c>
      <c r="K7" s="37">
        <v>0</v>
      </c>
      <c r="M7" s="40">
        <f t="shared" si="0"/>
        <v>0</v>
      </c>
      <c r="O7" s="40">
        <f t="shared" si="1"/>
        <v>13000</v>
      </c>
    </row>
    <row r="9" spans="3:18" x14ac:dyDescent="0.3">
      <c r="C9" s="24" t="s">
        <v>242</v>
      </c>
      <c r="D9" s="2" t="s">
        <v>258</v>
      </c>
    </row>
    <row r="10" spans="3:18" x14ac:dyDescent="0.3">
      <c r="D10" s="2" t="s">
        <v>385</v>
      </c>
    </row>
    <row r="11" spans="3:18" x14ac:dyDescent="0.3">
      <c r="D11" s="2" t="s">
        <v>370</v>
      </c>
    </row>
    <row r="13" spans="3:18" x14ac:dyDescent="0.3">
      <c r="D13" s="2" t="s">
        <v>372</v>
      </c>
      <c r="K13" s="2" t="s">
        <v>383</v>
      </c>
    </row>
    <row r="14" spans="3:18" x14ac:dyDescent="0.3">
      <c r="D14" s="33" t="s">
        <v>346</v>
      </c>
      <c r="E14" s="33" t="s">
        <v>230</v>
      </c>
      <c r="F14" s="33" t="s">
        <v>365</v>
      </c>
      <c r="G14" s="33" t="s">
        <v>366</v>
      </c>
      <c r="H14" s="35" t="s">
        <v>348</v>
      </c>
      <c r="K14" s="33" t="s">
        <v>231</v>
      </c>
      <c r="L14" s="33" t="s">
        <v>14</v>
      </c>
      <c r="M14" s="38" t="s">
        <v>36</v>
      </c>
      <c r="N14" s="38" t="s">
        <v>235</v>
      </c>
      <c r="O14" s="38" t="s">
        <v>88</v>
      </c>
      <c r="P14" s="38" t="s">
        <v>230</v>
      </c>
      <c r="Q14" s="38" t="s">
        <v>374</v>
      </c>
      <c r="R14" s="39" t="s">
        <v>347</v>
      </c>
    </row>
    <row r="15" spans="3:18" x14ac:dyDescent="0.3">
      <c r="C15" t="s">
        <v>87</v>
      </c>
      <c r="D15" t="s">
        <v>349</v>
      </c>
      <c r="E15">
        <v>20</v>
      </c>
      <c r="F15">
        <v>500</v>
      </c>
      <c r="G15">
        <f>E15*F15</f>
        <v>10000</v>
      </c>
      <c r="H15">
        <f>SUM(G15:G15)</f>
        <v>10000</v>
      </c>
      <c r="J15" t="s">
        <v>87</v>
      </c>
      <c r="K15" t="s">
        <v>373</v>
      </c>
      <c r="L15">
        <v>20</v>
      </c>
      <c r="M15">
        <v>0</v>
      </c>
      <c r="N15">
        <v>1.5</v>
      </c>
      <c r="O15">
        <v>1</v>
      </c>
      <c r="P15">
        <v>5</v>
      </c>
      <c r="Q15">
        <f>P15 * L15*3900*(1.6)^(M15)*O15/N15</f>
        <v>260000</v>
      </c>
      <c r="R15">
        <f>SUM(Q15:Q15)</f>
        <v>260000</v>
      </c>
    </row>
    <row r="16" spans="3:18" x14ac:dyDescent="0.3">
      <c r="C16" s="1" t="s">
        <v>375</v>
      </c>
      <c r="D16" t="s">
        <v>350</v>
      </c>
      <c r="E16">
        <v>0</v>
      </c>
      <c r="F16">
        <v>0</v>
      </c>
      <c r="G16">
        <f t="shared" ref="G16:G30" si="2">E16*F16</f>
        <v>0</v>
      </c>
      <c r="H16" s="40">
        <f>SUM(G16:G30)</f>
        <v>0</v>
      </c>
      <c r="J16" s="1" t="s">
        <v>376</v>
      </c>
      <c r="K16" t="s">
        <v>377</v>
      </c>
      <c r="L16">
        <v>0</v>
      </c>
      <c r="M16">
        <v>0</v>
      </c>
      <c r="N16">
        <v>1</v>
      </c>
      <c r="O16">
        <v>1</v>
      </c>
      <c r="P16">
        <v>0</v>
      </c>
      <c r="Q16">
        <f t="shared" ref="Q16:Q18" si="3">P16 * L16*3900*(1.6)^(M16)*O16/N16</f>
        <v>0</v>
      </c>
      <c r="R16" s="40">
        <f>SUM(Q16:Q30)</f>
        <v>0</v>
      </c>
    </row>
    <row r="17" spans="4:17" x14ac:dyDescent="0.3">
      <c r="D17" t="s">
        <v>351</v>
      </c>
      <c r="E17">
        <v>0</v>
      </c>
      <c r="F17">
        <v>0</v>
      </c>
      <c r="G17">
        <f t="shared" si="2"/>
        <v>0</v>
      </c>
      <c r="K17" t="s">
        <v>378</v>
      </c>
      <c r="L17">
        <v>0</v>
      </c>
      <c r="M17">
        <v>0</v>
      </c>
      <c r="N17">
        <v>1</v>
      </c>
      <c r="O17">
        <v>1</v>
      </c>
      <c r="P17">
        <v>0</v>
      </c>
      <c r="Q17">
        <f t="shared" si="3"/>
        <v>0</v>
      </c>
    </row>
    <row r="18" spans="4:17" x14ac:dyDescent="0.3">
      <c r="D18" t="s">
        <v>352</v>
      </c>
      <c r="E18">
        <v>0</v>
      </c>
      <c r="F18">
        <v>0</v>
      </c>
      <c r="G18">
        <f t="shared" si="2"/>
        <v>0</v>
      </c>
      <c r="K18" t="s">
        <v>379</v>
      </c>
      <c r="L18">
        <v>0</v>
      </c>
      <c r="M18">
        <v>0</v>
      </c>
      <c r="N18">
        <v>1</v>
      </c>
      <c r="O18">
        <v>1</v>
      </c>
      <c r="P18">
        <v>0</v>
      </c>
      <c r="Q18">
        <f t="shared" si="3"/>
        <v>0</v>
      </c>
    </row>
    <row r="19" spans="4:17" x14ac:dyDescent="0.3">
      <c r="D19" t="s">
        <v>353</v>
      </c>
      <c r="E19">
        <v>0</v>
      </c>
      <c r="F19">
        <v>0</v>
      </c>
      <c r="G19">
        <f t="shared" si="2"/>
        <v>0</v>
      </c>
      <c r="K19" t="s">
        <v>380</v>
      </c>
      <c r="L19">
        <v>0</v>
      </c>
      <c r="M19">
        <v>0</v>
      </c>
      <c r="N19">
        <v>1</v>
      </c>
      <c r="O19">
        <v>1</v>
      </c>
      <c r="P19">
        <v>0</v>
      </c>
      <c r="Q19">
        <f t="shared" ref="Q19:Q20" si="4">P19 * L19*3900*(1.6)^(M19)*O19/N19</f>
        <v>0</v>
      </c>
    </row>
    <row r="20" spans="4:17" x14ac:dyDescent="0.3">
      <c r="D20" t="s">
        <v>354</v>
      </c>
      <c r="E20">
        <v>0</v>
      </c>
      <c r="F20">
        <v>0</v>
      </c>
      <c r="G20">
        <f t="shared" si="2"/>
        <v>0</v>
      </c>
      <c r="K20" t="s">
        <v>381</v>
      </c>
      <c r="L20">
        <v>0</v>
      </c>
      <c r="M20">
        <v>0</v>
      </c>
      <c r="N20">
        <v>1</v>
      </c>
      <c r="O20">
        <v>1</v>
      </c>
      <c r="P20">
        <v>0</v>
      </c>
      <c r="Q20">
        <f t="shared" si="4"/>
        <v>0</v>
      </c>
    </row>
    <row r="21" spans="4:17" x14ac:dyDescent="0.3">
      <c r="D21" t="s">
        <v>355</v>
      </c>
      <c r="G21">
        <f t="shared" si="2"/>
        <v>0</v>
      </c>
    </row>
    <row r="22" spans="4:17" x14ac:dyDescent="0.3">
      <c r="D22" t="s">
        <v>356</v>
      </c>
      <c r="G22">
        <f t="shared" si="2"/>
        <v>0</v>
      </c>
    </row>
    <row r="23" spans="4:17" x14ac:dyDescent="0.3">
      <c r="D23" t="s">
        <v>357</v>
      </c>
      <c r="G23">
        <f t="shared" si="2"/>
        <v>0</v>
      </c>
    </row>
    <row r="24" spans="4:17" x14ac:dyDescent="0.3">
      <c r="D24" t="s">
        <v>358</v>
      </c>
      <c r="G24">
        <f t="shared" si="2"/>
        <v>0</v>
      </c>
    </row>
    <row r="25" spans="4:17" x14ac:dyDescent="0.3">
      <c r="D25" t="s">
        <v>359</v>
      </c>
      <c r="G25">
        <f t="shared" si="2"/>
        <v>0</v>
      </c>
    </row>
    <row r="26" spans="4:17" x14ac:dyDescent="0.3">
      <c r="D26" t="s">
        <v>360</v>
      </c>
      <c r="G26">
        <f t="shared" si="2"/>
        <v>0</v>
      </c>
    </row>
    <row r="27" spans="4:17" x14ac:dyDescent="0.3">
      <c r="D27" t="s">
        <v>361</v>
      </c>
      <c r="G27">
        <f t="shared" si="2"/>
        <v>0</v>
      </c>
    </row>
    <row r="28" spans="4:17" x14ac:dyDescent="0.3">
      <c r="D28" t="s">
        <v>362</v>
      </c>
      <c r="G28">
        <f t="shared" si="2"/>
        <v>0</v>
      </c>
    </row>
    <row r="29" spans="4:17" x14ac:dyDescent="0.3">
      <c r="D29" t="s">
        <v>363</v>
      </c>
      <c r="G29">
        <f t="shared" si="2"/>
        <v>0</v>
      </c>
    </row>
    <row r="30" spans="4:17" x14ac:dyDescent="0.3">
      <c r="D30" t="s">
        <v>364</v>
      </c>
      <c r="G30">
        <f t="shared" si="2"/>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267</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401</v>
      </c>
    </row>
    <row r="3" spans="2:22" x14ac:dyDescent="0.3">
      <c r="C3" t="s">
        <v>123</v>
      </c>
      <c r="D3" t="s">
        <v>124</v>
      </c>
      <c r="E3" t="s">
        <v>125</v>
      </c>
      <c r="J3" t="s">
        <v>402</v>
      </c>
      <c r="K3" t="s">
        <v>403</v>
      </c>
      <c r="L3" t="s">
        <v>404</v>
      </c>
      <c r="M3" t="s">
        <v>408</v>
      </c>
      <c r="N3" t="s">
        <v>409</v>
      </c>
      <c r="O3" t="s">
        <v>407</v>
      </c>
      <c r="P3" t="s">
        <v>410</v>
      </c>
      <c r="Q3" t="s">
        <v>405</v>
      </c>
      <c r="R3" t="s">
        <v>413</v>
      </c>
      <c r="S3" t="s">
        <v>414</v>
      </c>
      <c r="T3" t="s">
        <v>406</v>
      </c>
      <c r="U3" t="s">
        <v>411</v>
      </c>
      <c r="V3" t="s">
        <v>412</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270</v>
      </c>
    </row>
    <row r="2" spans="2:23" x14ac:dyDescent="0.3">
      <c r="C2" s="2" t="s">
        <v>271</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273</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214</v>
      </c>
    </row>
    <row r="26" spans="2:23" x14ac:dyDescent="0.3">
      <c r="C26" s="3"/>
    </row>
    <row r="27" spans="2:23" x14ac:dyDescent="0.3">
      <c r="C27" s="4" t="s">
        <v>41</v>
      </c>
      <c r="D27" t="s">
        <v>204</v>
      </c>
    </row>
    <row r="28" spans="2:23" x14ac:dyDescent="0.3">
      <c r="D28" t="s">
        <v>205</v>
      </c>
    </row>
    <row r="29" spans="2:23" x14ac:dyDescent="0.3">
      <c r="D29" t="s">
        <v>48</v>
      </c>
    </row>
    <row r="30" spans="2:23" x14ac:dyDescent="0.3">
      <c r="D30" t="s">
        <v>185</v>
      </c>
    </row>
    <row r="31" spans="2:23" x14ac:dyDescent="0.3">
      <c r="D31" t="s">
        <v>184</v>
      </c>
    </row>
    <row r="32" spans="2:23" x14ac:dyDescent="0.3">
      <c r="D32" t="s">
        <v>264</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枪械</vt:lpstr>
      <vt:lpstr>防具</vt:lpstr>
      <vt:lpstr>刀</vt:lpstr>
      <vt:lpstr>爆炸类</vt:lpstr>
      <vt:lpstr>技能</vt:lpstr>
      <vt:lpstr>装备价格</vt:lpstr>
      <vt:lpstr>合成表成本</vt:lpstr>
      <vt:lpstr>副本收益</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2024-10-29T14:42:53Z</dcterms:modified>
</cp:coreProperties>
</file>