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E:\Steam\steamapps\common\CRAZYFLASHER7StandAloneStarter\project\CrazyFlashNight\0.说明文件与教程\"/>
    </mc:Choice>
  </mc:AlternateContent>
  <xr:revisionPtr revIDLastSave="0" documentId="13_ncr:1_{AA8BD05A-72E9-411F-8592-5B7450AC164B}" xr6:coauthVersionLast="47" xr6:coauthVersionMax="47" xr10:uidLastSave="{00000000-0000-0000-0000-000000000000}"/>
  <bookViews>
    <workbookView xWindow="-110" yWindow="-110" windowWidth="25820" windowHeight="13900" tabRatio="631" xr2:uid="{00000000-000D-0000-FFFF-FFFF00000000}"/>
  </bookViews>
  <sheets>
    <sheet name="枪械" sheetId="12" r:id="rId1"/>
    <sheet name="防具" sheetId="10" r:id="rId2"/>
    <sheet name="刀" sheetId="2" r:id="rId3"/>
    <sheet name="爆炸类" sheetId="3" r:id="rId4"/>
    <sheet name="装备价格" sheetId="5" r:id="rId5"/>
    <sheet name="合成表成本" sheetId="11" r:id="rId6"/>
    <sheet name="副本收益" sheetId="13" r:id="rId7"/>
    <sheet name="怪物大致面板" sheetId="14" r:id="rId8"/>
    <sheet name="药剂面板" sheetId="15" r:id="rId9"/>
    <sheet name="经验辅助计算" sheetId="6" r:id="rId10"/>
    <sheet name="技能格式" sheetId="4" r:id="rId11"/>
    <sheet name="等级计算怪物属性" sheetId="7" r:id="rId12"/>
    <sheet name="伤害公式" sheetId="8" r:id="rId13"/>
    <sheet name="其余计算" sheetId="9" r:id="rId14"/>
    <sheet name="旧版-枪械" sheetId="1" r:id="rId15"/>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C4" i="15" l="1"/>
  <c r="AC5" i="15"/>
  <c r="AC6" i="15"/>
  <c r="V6" i="15" s="1"/>
  <c r="AC7" i="15"/>
  <c r="V7" i="15" s="1"/>
  <c r="AC8" i="15"/>
  <c r="V8" i="15" s="1"/>
  <c r="AC3" i="15"/>
  <c r="T4" i="15"/>
  <c r="T5" i="15"/>
  <c r="T6" i="15"/>
  <c r="T7" i="15"/>
  <c r="T8" i="15"/>
  <c r="T3" i="15"/>
  <c r="V3" i="15"/>
  <c r="AA6" i="15"/>
  <c r="AA7" i="15"/>
  <c r="AA8" i="15"/>
  <c r="AA10" i="15"/>
  <c r="AA4" i="15"/>
  <c r="V4" i="15" s="1"/>
  <c r="AA5" i="15"/>
  <c r="AA3" i="15"/>
  <c r="F25" i="15"/>
  <c r="AB4" i="15"/>
  <c r="AB5" i="15"/>
  <c r="AB6" i="15"/>
  <c r="AB7" i="15"/>
  <c r="AB8" i="15"/>
  <c r="AB10" i="15"/>
  <c r="AB3" i="15"/>
  <c r="Y4" i="15"/>
  <c r="Z4" i="15"/>
  <c r="Y5" i="15"/>
  <c r="Z5" i="15"/>
  <c r="Y6" i="15"/>
  <c r="Z6" i="15"/>
  <c r="Y7" i="15"/>
  <c r="Z7" i="15"/>
  <c r="Y8" i="15"/>
  <c r="Z8" i="15"/>
  <c r="Y10" i="15"/>
  <c r="AC10" i="15" s="1"/>
  <c r="Z10" i="15"/>
  <c r="G25" i="15"/>
  <c r="E25" i="15"/>
  <c r="Y3" i="15"/>
  <c r="U4" i="15"/>
  <c r="U5" i="15"/>
  <c r="U6" i="15"/>
  <c r="U7" i="15"/>
  <c r="U8" i="15"/>
  <c r="Z3" i="15"/>
  <c r="U10" i="15"/>
  <c r="U3" i="15"/>
  <c r="O4" i="11"/>
  <c r="O3" i="11"/>
  <c r="N4" i="11"/>
  <c r="N3" i="11"/>
  <c r="N10" i="11"/>
  <c r="N9" i="11"/>
  <c r="AC6" i="12"/>
  <c r="AC7" i="12"/>
  <c r="AC8" i="12"/>
  <c r="AC10" i="12"/>
  <c r="AC11" i="12"/>
  <c r="AC12" i="12"/>
  <c r="AC13" i="12"/>
  <c r="AC14" i="12"/>
  <c r="AC15" i="12"/>
  <c r="AC3" i="12"/>
  <c r="S26" i="12"/>
  <c r="K4" i="3"/>
  <c r="K5" i="3"/>
  <c r="K3" i="3"/>
  <c r="T10" i="15" l="1"/>
  <c r="V10" i="15"/>
  <c r="V5" i="15"/>
  <c r="AB3" i="12"/>
  <c r="AB4" i="12"/>
  <c r="AB5" i="12"/>
  <c r="AB6" i="12"/>
  <c r="AB7" i="12"/>
  <c r="AB8" i="12"/>
  <c r="AB10" i="12"/>
  <c r="AB11" i="12"/>
  <c r="AB12" i="12"/>
  <c r="AB13" i="12"/>
  <c r="AB14" i="12"/>
  <c r="AB15" i="12"/>
  <c r="K13" i="3"/>
  <c r="J18" i="2"/>
  <c r="P5" i="9"/>
  <c r="P6" i="9"/>
  <c r="P7" i="9"/>
  <c r="P8" i="9"/>
  <c r="P9" i="9"/>
  <c r="P10" i="9"/>
  <c r="P11" i="9"/>
  <c r="P12" i="9"/>
  <c r="P13" i="9"/>
  <c r="P14" i="9"/>
  <c r="P15" i="9"/>
  <c r="P16" i="9"/>
  <c r="P4" i="9"/>
  <c r="O4" i="9"/>
  <c r="R5" i="9"/>
  <c r="R6" i="9"/>
  <c r="R7" i="9"/>
  <c r="R8" i="9"/>
  <c r="R9" i="9"/>
  <c r="R10" i="9"/>
  <c r="R11" i="9"/>
  <c r="R12" i="9"/>
  <c r="R13" i="9"/>
  <c r="R14" i="9"/>
  <c r="R15" i="9"/>
  <c r="R16" i="9"/>
  <c r="R4" i="9"/>
  <c r="M4" i="13"/>
  <c r="M5" i="13"/>
  <c r="M6" i="13"/>
  <c r="M3" i="13"/>
  <c r="O60" i="9"/>
  <c r="M60" i="9"/>
  <c r="K60" i="9"/>
  <c r="O59" i="9"/>
  <c r="M59" i="9"/>
  <c r="K59" i="9"/>
  <c r="O58" i="9"/>
  <c r="M58" i="9"/>
  <c r="K58" i="9"/>
  <c r="O57" i="9"/>
  <c r="M57" i="9"/>
  <c r="K57" i="9"/>
  <c r="O56" i="9"/>
  <c r="M56" i="9"/>
  <c r="K56" i="9"/>
  <c r="O54" i="9"/>
  <c r="M54" i="9"/>
  <c r="K54" i="9"/>
  <c r="O53" i="9"/>
  <c r="M53" i="9"/>
  <c r="K53" i="9"/>
  <c r="O52" i="9"/>
  <c r="M52" i="9"/>
  <c r="K52" i="9"/>
  <c r="O51" i="9"/>
  <c r="M51" i="9"/>
  <c r="K51" i="9"/>
  <c r="O50" i="9"/>
  <c r="M50" i="9"/>
  <c r="K50" i="9"/>
  <c r="O48" i="9"/>
  <c r="M48" i="9"/>
  <c r="K48" i="9"/>
  <c r="O47" i="9"/>
  <c r="M47" i="9"/>
  <c r="K47" i="9"/>
  <c r="O46" i="9"/>
  <c r="M46" i="9"/>
  <c r="K46" i="9"/>
  <c r="O45" i="9"/>
  <c r="M45" i="9"/>
  <c r="K45" i="9"/>
  <c r="O44" i="9"/>
  <c r="M44" i="9"/>
  <c r="K44" i="9"/>
  <c r="O42" i="9"/>
  <c r="M42" i="9"/>
  <c r="K42" i="9"/>
  <c r="O41" i="9"/>
  <c r="M41" i="9"/>
  <c r="K41" i="9"/>
  <c r="O40" i="9"/>
  <c r="M40" i="9"/>
  <c r="K40" i="9"/>
  <c r="O39" i="9"/>
  <c r="M39" i="9"/>
  <c r="K39" i="9"/>
  <c r="O38" i="9"/>
  <c r="M38" i="9"/>
  <c r="K38" i="9"/>
  <c r="O36" i="9"/>
  <c r="M36" i="9"/>
  <c r="K36" i="9"/>
  <c r="O35" i="9"/>
  <c r="M35" i="9"/>
  <c r="K35" i="9"/>
  <c r="O34" i="9"/>
  <c r="M34" i="9"/>
  <c r="K34" i="9"/>
  <c r="O33" i="9"/>
  <c r="M33" i="9"/>
  <c r="K33" i="9"/>
  <c r="O32" i="9"/>
  <c r="M32" i="9"/>
  <c r="K32" i="9"/>
  <c r="O30" i="9"/>
  <c r="O29" i="9"/>
  <c r="M30" i="9"/>
  <c r="M29" i="9"/>
  <c r="K30" i="9"/>
  <c r="K29" i="9"/>
  <c r="O28" i="9"/>
  <c r="O27" i="9"/>
  <c r="O26" i="9"/>
  <c r="M28" i="9"/>
  <c r="M27" i="9"/>
  <c r="M26" i="9"/>
  <c r="K28" i="9"/>
  <c r="K27" i="9"/>
  <c r="K26" i="9"/>
  <c r="Q8" i="14"/>
  <c r="Q4" i="14"/>
  <c r="Q5" i="14"/>
  <c r="Q6" i="14"/>
  <c r="Q7" i="14"/>
  <c r="Q3" i="14"/>
  <c r="P4" i="14"/>
  <c r="P5" i="14"/>
  <c r="P6" i="14"/>
  <c r="P7" i="14"/>
  <c r="P8" i="14"/>
  <c r="P3" i="14"/>
  <c r="T15" i="10" l="1"/>
  <c r="S15" i="10"/>
  <c r="P15" i="10"/>
  <c r="Q15" i="10" s="1"/>
  <c r="O15" i="10" s="1"/>
  <c r="T14" i="10"/>
  <c r="S14" i="10"/>
  <c r="U4" i="14"/>
  <c r="U5" i="14"/>
  <c r="U6" i="14"/>
  <c r="U7" i="14"/>
  <c r="U8" i="14"/>
  <c r="U3" i="14"/>
  <c r="T4" i="14"/>
  <c r="T5" i="14"/>
  <c r="T6" i="14"/>
  <c r="T7" i="14"/>
  <c r="T8" i="14"/>
  <c r="T3" i="14"/>
  <c r="V4" i="14"/>
  <c r="W4" i="14" s="1"/>
  <c r="V5" i="14"/>
  <c r="W5" i="14" s="1"/>
  <c r="V6" i="14"/>
  <c r="W6" i="14" s="1"/>
  <c r="V7" i="14"/>
  <c r="W7" i="14" s="1"/>
  <c r="V8" i="14"/>
  <c r="W8" i="14" s="1"/>
  <c r="V3" i="14"/>
  <c r="W3" i="14" s="1"/>
  <c r="N3" i="14"/>
  <c r="O3" i="14"/>
  <c r="R3" i="14"/>
  <c r="S3" i="14"/>
  <c r="N4" i="14"/>
  <c r="O4" i="14"/>
  <c r="R4" i="14"/>
  <c r="S4" i="14"/>
  <c r="N5" i="14"/>
  <c r="O5" i="14"/>
  <c r="R5" i="14"/>
  <c r="S5" i="14"/>
  <c r="N6" i="14"/>
  <c r="O6" i="14"/>
  <c r="R6" i="14"/>
  <c r="S6" i="14"/>
  <c r="N7" i="14"/>
  <c r="O7" i="14"/>
  <c r="R7" i="14"/>
  <c r="S7" i="14"/>
  <c r="O8" i="14"/>
  <c r="S8" i="14"/>
  <c r="R8" i="14"/>
  <c r="N8" i="14"/>
  <c r="F110" i="7"/>
  <c r="F111" i="7"/>
  <c r="F112" i="7"/>
  <c r="L14" i="13"/>
  <c r="L15" i="13"/>
  <c r="L22" i="13"/>
  <c r="L19" i="13"/>
  <c r="O32" i="13"/>
  <c r="K12" i="3"/>
  <c r="P10" i="10" l="1"/>
  <c r="O30" i="13"/>
  <c r="O31" i="13"/>
  <c r="O27" i="13"/>
  <c r="O28" i="13"/>
  <c r="O29" i="13"/>
  <c r="O5" i="9"/>
  <c r="O6" i="9"/>
  <c r="O7" i="9"/>
  <c r="O8" i="9"/>
  <c r="O9" i="9"/>
  <c r="O10" i="9"/>
  <c r="O11" i="9"/>
  <c r="O12" i="9"/>
  <c r="O13" i="9"/>
  <c r="O14" i="9"/>
  <c r="O15" i="9"/>
  <c r="O16" i="9"/>
  <c r="S5" i="9"/>
  <c r="S4" i="9"/>
  <c r="L5" i="9"/>
  <c r="L6" i="9"/>
  <c r="L7" i="9"/>
  <c r="L8" i="9"/>
  <c r="L9" i="9"/>
  <c r="L10" i="9"/>
  <c r="L11" i="9"/>
  <c r="L12" i="9"/>
  <c r="L13" i="9"/>
  <c r="L14" i="9"/>
  <c r="L15" i="9"/>
  <c r="L4" i="9"/>
  <c r="N5" i="9" s="1"/>
  <c r="K5" i="9"/>
  <c r="K6" i="9"/>
  <c r="K7" i="9"/>
  <c r="K8" i="9"/>
  <c r="K9" i="9"/>
  <c r="K10" i="9"/>
  <c r="K11" i="9"/>
  <c r="K12" i="9"/>
  <c r="K13" i="9"/>
  <c r="K14" i="9"/>
  <c r="K15" i="9"/>
  <c r="K4" i="9"/>
  <c r="M5" i="9" s="1"/>
  <c r="AH10" i="12"/>
  <c r="AF3" i="12"/>
  <c r="AF4" i="12"/>
  <c r="AF5" i="12"/>
  <c r="AF6" i="12"/>
  <c r="AF7" i="12"/>
  <c r="AF8" i="12"/>
  <c r="AF10" i="12"/>
  <c r="AF11" i="12"/>
  <c r="AF12" i="12"/>
  <c r="AF13" i="12"/>
  <c r="AF14" i="12"/>
  <c r="AF15" i="12"/>
  <c r="AG4" i="12"/>
  <c r="AH4" i="12" s="1"/>
  <c r="AG5" i="12"/>
  <c r="AH5" i="12" s="1"/>
  <c r="AG6" i="12"/>
  <c r="AH6" i="12" s="1"/>
  <c r="AG7" i="12"/>
  <c r="AH7" i="12" s="1"/>
  <c r="AG8" i="12"/>
  <c r="AH8" i="12" s="1"/>
  <c r="AG10" i="12"/>
  <c r="AG11" i="12"/>
  <c r="AH11" i="12" s="1"/>
  <c r="AG12" i="12"/>
  <c r="AH12" i="12" s="1"/>
  <c r="AG13" i="12"/>
  <c r="AH13" i="12" s="1"/>
  <c r="AG14" i="12"/>
  <c r="AH14" i="12" s="1"/>
  <c r="AG15" i="12"/>
  <c r="AH15" i="12" s="1"/>
  <c r="AG3" i="12"/>
  <c r="AH3" i="12" s="1"/>
  <c r="AK4" i="12"/>
  <c r="AK5" i="12"/>
  <c r="AK6" i="12"/>
  <c r="AK7" i="12"/>
  <c r="AK8" i="12"/>
  <c r="AK10" i="12"/>
  <c r="AK11" i="12"/>
  <c r="AK12" i="12"/>
  <c r="AK13" i="12"/>
  <c r="AK14" i="12"/>
  <c r="AK15" i="12"/>
  <c r="AK3" i="12"/>
  <c r="AP26" i="12"/>
  <c r="AP27" i="12"/>
  <c r="AP28" i="12"/>
  <c r="AP29" i="12"/>
  <c r="AP30" i="12"/>
  <c r="AO32" i="12"/>
  <c r="AO31" i="12"/>
  <c r="AP31" i="12" s="1"/>
  <c r="Z3" i="12"/>
  <c r="Z11" i="12"/>
  <c r="Z12" i="12"/>
  <c r="Z13" i="12"/>
  <c r="Z14" i="12"/>
  <c r="Z15" i="12"/>
  <c r="Z10" i="12"/>
  <c r="Z4" i="12"/>
  <c r="Z5" i="12"/>
  <c r="Z6" i="12"/>
  <c r="Z7" i="12"/>
  <c r="Z8" i="12"/>
  <c r="F17" i="12" l="1"/>
  <c r="P27" i="13"/>
  <c r="T5" i="9"/>
  <c r="M16" i="9"/>
  <c r="M7" i="9"/>
  <c r="M6" i="9"/>
  <c r="V5" i="9"/>
  <c r="M14" i="9"/>
  <c r="U5" i="9"/>
  <c r="T6" i="9"/>
  <c r="Q5" i="9"/>
  <c r="M9" i="9"/>
  <c r="N15" i="9"/>
  <c r="V15" i="9" s="1"/>
  <c r="M15" i="9"/>
  <c r="M13" i="9"/>
  <c r="N16" i="9"/>
  <c r="V16" i="9" s="1"/>
  <c r="N12" i="9"/>
  <c r="V12" i="9" s="1"/>
  <c r="N11" i="9"/>
  <c r="V11" i="9" s="1"/>
  <c r="N10" i="9"/>
  <c r="V10" i="9" s="1"/>
  <c r="N9" i="9"/>
  <c r="V9" i="9" s="1"/>
  <c r="M10" i="9"/>
  <c r="N7" i="9"/>
  <c r="V7" i="9" s="1"/>
  <c r="M12" i="9"/>
  <c r="N6" i="9"/>
  <c r="V6" i="9" s="1"/>
  <c r="M8" i="9"/>
  <c r="N14" i="9"/>
  <c r="V14" i="9" s="1"/>
  <c r="N13" i="9"/>
  <c r="V13" i="9" s="1"/>
  <c r="N8" i="9"/>
  <c r="V8" i="9" s="1"/>
  <c r="M11" i="9"/>
  <c r="P24" i="11"/>
  <c r="P25" i="11"/>
  <c r="P26" i="11"/>
  <c r="P23" i="11"/>
  <c r="O4" i="13"/>
  <c r="O5" i="13"/>
  <c r="O6" i="13"/>
  <c r="O3" i="13"/>
  <c r="O26" i="13"/>
  <c r="P26" i="13" s="1"/>
  <c r="L16" i="13"/>
  <c r="L17" i="13"/>
  <c r="L18" i="13"/>
  <c r="L20" i="13"/>
  <c r="L21" i="13"/>
  <c r="L13" i="13"/>
  <c r="M13" i="13" s="1"/>
  <c r="Q25" i="11"/>
  <c r="Q26" i="11"/>
  <c r="Q24" i="11"/>
  <c r="Q23" i="11"/>
  <c r="Q7" i="9" l="1"/>
  <c r="S7" i="9"/>
  <c r="U15" i="9"/>
  <c r="S15" i="9"/>
  <c r="Q6" i="9"/>
  <c r="S6" i="9"/>
  <c r="U13" i="9"/>
  <c r="S13" i="9"/>
  <c r="Q9" i="9"/>
  <c r="S9" i="9"/>
  <c r="U11" i="9"/>
  <c r="S11" i="9"/>
  <c r="U14" i="9"/>
  <c r="S14" i="9"/>
  <c r="Q8" i="9"/>
  <c r="S8" i="9"/>
  <c r="Q16" i="9"/>
  <c r="S16" i="9"/>
  <c r="Q12" i="9"/>
  <c r="S12" i="9"/>
  <c r="Q10" i="9"/>
  <c r="S10" i="9"/>
  <c r="M14" i="13"/>
  <c r="T7" i="9"/>
  <c r="T9" i="9"/>
  <c r="T10" i="9"/>
  <c r="T11" i="9"/>
  <c r="T16" i="9"/>
  <c r="Q13" i="9"/>
  <c r="U7" i="9"/>
  <c r="T13" i="9"/>
  <c r="T14" i="9"/>
  <c r="U12" i="9"/>
  <c r="U16" i="9"/>
  <c r="Q14" i="9"/>
  <c r="T15" i="9"/>
  <c r="U8" i="9"/>
  <c r="U9" i="9"/>
  <c r="U10" i="9"/>
  <c r="Q11" i="9"/>
  <c r="Q15" i="9"/>
  <c r="T8" i="9"/>
  <c r="U6" i="9"/>
  <c r="T12" i="9"/>
  <c r="N24" i="11"/>
  <c r="J22" i="2"/>
  <c r="J4" i="2"/>
  <c r="J3" i="2"/>
  <c r="J16" i="5"/>
  <c r="K17" i="5"/>
  <c r="K18" i="5"/>
  <c r="K19" i="5"/>
  <c r="K16" i="5"/>
  <c r="J17" i="5"/>
  <c r="J18" i="5"/>
  <c r="J19" i="5"/>
  <c r="K6" i="5"/>
  <c r="K7" i="5"/>
  <c r="N7" i="5" s="1"/>
  <c r="K8" i="5"/>
  <c r="K5" i="5"/>
  <c r="J6" i="5"/>
  <c r="J7" i="5"/>
  <c r="J8" i="5"/>
  <c r="J5" i="5"/>
  <c r="P5" i="1"/>
  <c r="AM4" i="12"/>
  <c r="AM5" i="12"/>
  <c r="AM6" i="12"/>
  <c r="AM7" i="12"/>
  <c r="AM8" i="12"/>
  <c r="AM10" i="12"/>
  <c r="AM11" i="12"/>
  <c r="AM12" i="12"/>
  <c r="AM13" i="12"/>
  <c r="AM14" i="12"/>
  <c r="AM15" i="12"/>
  <c r="AM3" i="12"/>
  <c r="AL8" i="12"/>
  <c r="AD8" i="12" s="1"/>
  <c r="T5" i="1"/>
  <c r="V5" i="1" s="1"/>
  <c r="AL3" i="12"/>
  <c r="AD3" i="12" s="1"/>
  <c r="AL4" i="12"/>
  <c r="AD4" i="12" s="1"/>
  <c r="AL5" i="12"/>
  <c r="AD5" i="12" s="1"/>
  <c r="AL10" i="12"/>
  <c r="AD10" i="12" s="1"/>
  <c r="AL11" i="12"/>
  <c r="AD11" i="12" s="1"/>
  <c r="AL12" i="12"/>
  <c r="AD12" i="12" s="1"/>
  <c r="AL6" i="12"/>
  <c r="AD6" i="12" s="1"/>
  <c r="AL13" i="12"/>
  <c r="AD13" i="12" s="1"/>
  <c r="AL7" i="12"/>
  <c r="AD7" i="12" s="1"/>
  <c r="AL14" i="12"/>
  <c r="AD14" i="12" s="1"/>
  <c r="AL15" i="12"/>
  <c r="AD15" i="12" s="1"/>
  <c r="AQ31" i="12"/>
  <c r="J17" i="8"/>
  <c r="J18" i="8"/>
  <c r="P3" i="10"/>
  <c r="Q3" i="10" s="1"/>
  <c r="O3" i="10" s="1"/>
  <c r="P9" i="10"/>
  <c r="Q9" i="10" s="1"/>
  <c r="O9" i="10" s="1"/>
  <c r="P4" i="10"/>
  <c r="Q4" i="10" s="1"/>
  <c r="O4" i="10" s="1"/>
  <c r="P5" i="10"/>
  <c r="Q5" i="10" s="1"/>
  <c r="O5" i="10" s="1"/>
  <c r="P6" i="10"/>
  <c r="Q6" i="10" s="1"/>
  <c r="O6" i="10" s="1"/>
  <c r="P7" i="10"/>
  <c r="Q7" i="10" s="1"/>
  <c r="O7" i="10" s="1"/>
  <c r="P8" i="10"/>
  <c r="Q8" i="10" s="1"/>
  <c r="O8" i="10" s="1"/>
  <c r="P4" i="11"/>
  <c r="P3" i="11"/>
  <c r="J14" i="11"/>
  <c r="J15" i="11"/>
  <c r="J16" i="11"/>
  <c r="J17" i="11"/>
  <c r="J18" i="11"/>
  <c r="J13" i="11"/>
  <c r="D18" i="8"/>
  <c r="D21" i="8"/>
  <c r="F21" i="8" s="1"/>
  <c r="G21" i="8" s="1"/>
  <c r="P18" i="10"/>
  <c r="Q18" i="10" s="1"/>
  <c r="O18" i="10" s="1"/>
  <c r="P17" i="10"/>
  <c r="Q17" i="10" s="1"/>
  <c r="O17" i="10" s="1"/>
  <c r="T9" i="10"/>
  <c r="S9" i="10"/>
  <c r="T3" i="10"/>
  <c r="T4" i="10"/>
  <c r="T5" i="10"/>
  <c r="T6" i="10"/>
  <c r="T7" i="10"/>
  <c r="T8" i="10"/>
  <c r="T10" i="10"/>
  <c r="S3" i="10"/>
  <c r="S4" i="10"/>
  <c r="S5" i="10"/>
  <c r="S6" i="10"/>
  <c r="S7" i="10"/>
  <c r="S8" i="10"/>
  <c r="S10" i="10"/>
  <c r="Q10" i="10"/>
  <c r="O10" i="10" s="1"/>
  <c r="N16" i="5"/>
  <c r="U8" i="8"/>
  <c r="W8" i="8"/>
  <c r="U7" i="8"/>
  <c r="U6" i="8"/>
  <c r="W7" i="8"/>
  <c r="W6" i="8"/>
  <c r="C32" i="8"/>
  <c r="C31" i="8"/>
  <c r="S30" i="8"/>
  <c r="S29" i="8"/>
  <c r="O8" i="8"/>
  <c r="O23" i="8"/>
  <c r="O25" i="8"/>
  <c r="O26" i="8"/>
  <c r="O27" i="8"/>
  <c r="O28"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O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L21" i="4"/>
  <c r="L22" i="4"/>
  <c r="L20" i="4"/>
  <c r="L3" i="4"/>
  <c r="L4" i="4"/>
  <c r="L5" i="4"/>
  <c r="O32" i="8" l="1"/>
  <c r="AO15" i="12"/>
  <c r="AO13" i="12"/>
  <c r="AO11" i="12"/>
  <c r="AO12" i="12"/>
  <c r="AO8" i="12"/>
  <c r="AO10" i="12"/>
  <c r="AO5" i="12"/>
  <c r="AO14" i="12"/>
  <c r="AO6" i="12"/>
  <c r="AO7" i="12"/>
  <c r="X10" i="12"/>
  <c r="Y10" i="12" s="1"/>
  <c r="AO4" i="12"/>
  <c r="X11" i="12"/>
  <c r="Y11" i="12" s="1"/>
  <c r="X8" i="12"/>
  <c r="Y8" i="12" s="1"/>
  <c r="AO3" i="12"/>
  <c r="X6" i="12"/>
  <c r="Y6" i="12" s="1"/>
  <c r="X5" i="12"/>
  <c r="Y5" i="12" s="1"/>
  <c r="X12" i="12"/>
  <c r="Y12" i="12" s="1"/>
  <c r="X4" i="12"/>
  <c r="Y4" i="12" s="1"/>
  <c r="X7" i="12"/>
  <c r="Y7" i="12" s="1"/>
  <c r="X3" i="12"/>
  <c r="Y3" i="12" s="1"/>
  <c r="X15" i="12"/>
  <c r="Y15" i="12" s="1"/>
  <c r="X14" i="12"/>
  <c r="Y14" i="12" s="1"/>
  <c r="X13" i="12"/>
  <c r="Y13" i="12" s="1"/>
  <c r="N6" i="5"/>
  <c r="W6" i="12"/>
  <c r="AP6" i="12" s="1"/>
  <c r="N17" i="5"/>
  <c r="N5" i="5"/>
  <c r="W8" i="12"/>
  <c r="AP8" i="12" s="1"/>
  <c r="W3" i="12"/>
  <c r="AP3" i="12" s="1"/>
  <c r="W7" i="12"/>
  <c r="AP7" i="12" s="1"/>
  <c r="W4" i="12"/>
  <c r="AP4" i="12" s="1"/>
  <c r="W5" i="12"/>
  <c r="AP5" i="12" s="1"/>
  <c r="W14" i="12"/>
  <c r="AP14" i="12" s="1"/>
  <c r="W11" i="12"/>
  <c r="AP11" i="12" s="1"/>
  <c r="W12" i="12"/>
  <c r="AP12" i="12" s="1"/>
  <c r="W10" i="12"/>
  <c r="AP10" i="12" s="1"/>
  <c r="W13" i="12"/>
  <c r="AP13" i="12" s="1"/>
  <c r="W15" i="12"/>
  <c r="AP15" i="12" s="1"/>
  <c r="AJ8" i="12"/>
  <c r="AJ14" i="12"/>
  <c r="AJ13" i="12"/>
  <c r="AJ6" i="12"/>
  <c r="AJ10" i="12"/>
  <c r="AJ15" i="12"/>
  <c r="AJ12" i="12"/>
  <c r="AJ11" i="12"/>
  <c r="AJ3" i="12"/>
  <c r="AJ4" i="12"/>
  <c r="AJ7" i="12"/>
  <c r="AJ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O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N12" i="12" l="1"/>
  <c r="AA12" i="12" s="1"/>
  <c r="Q15" i="12"/>
  <c r="AN11" i="12"/>
  <c r="AA11" i="12" s="1"/>
  <c r="Q11" i="12"/>
  <c r="Q5" i="12"/>
  <c r="AN4" i="12"/>
  <c r="AN5" i="12"/>
  <c r="AN10" i="12"/>
  <c r="Q10" i="12"/>
  <c r="AN14" i="12"/>
  <c r="AA14" i="12" s="1"/>
  <c r="Q6" i="12"/>
  <c r="AN6" i="12"/>
  <c r="AA6" i="12" s="1"/>
  <c r="AN3" i="12"/>
  <c r="AA3" i="12" s="1"/>
  <c r="Q13" i="12"/>
  <c r="AN13" i="12"/>
  <c r="AN15" i="12"/>
  <c r="AA15" i="12" s="1"/>
  <c r="AN7" i="12"/>
  <c r="AA7" i="12" s="1"/>
  <c r="AN8" i="12"/>
  <c r="AA8" i="12" s="1"/>
  <c r="Q3" i="12"/>
  <c r="Q7" i="12"/>
  <c r="Q8" i="12"/>
  <c r="Q14" i="12"/>
  <c r="Q12" i="12"/>
  <c r="Q4" i="12"/>
  <c r="O17" i="8"/>
  <c r="L19" i="8"/>
  <c r="L22" i="8"/>
  <c r="O21" i="8"/>
  <c r="L21" i="8"/>
  <c r="O18" i="8"/>
  <c r="L18" i="8"/>
  <c r="K46" i="8"/>
  <c r="O43" i="8"/>
  <c r="AA4" i="12" l="1"/>
  <c r="AA13" i="12"/>
  <c r="AE13" i="12" s="1"/>
  <c r="V13" i="12" s="1"/>
  <c r="AQ13" i="12" s="1"/>
  <c r="AA10" i="12"/>
  <c r="AE10" i="12" s="1"/>
  <c r="V10" i="12" s="1"/>
  <c r="AQ10" i="12" s="1"/>
  <c r="AA5" i="12"/>
  <c r="AE12" i="12"/>
  <c r="V12" i="12" s="1"/>
  <c r="AQ12" i="12" s="1"/>
  <c r="AE14" i="12"/>
  <c r="V14" i="12" s="1"/>
  <c r="AQ14" i="12" s="1"/>
  <c r="AE15" i="12"/>
  <c r="V15" i="12" s="1"/>
  <c r="AQ15" i="12" s="1"/>
  <c r="AE11" i="12"/>
  <c r="AE8" i="12"/>
  <c r="V8" i="12" s="1"/>
  <c r="AQ8" i="12" s="1"/>
  <c r="AE7" i="12"/>
  <c r="AE6" i="12"/>
  <c r="AE3" i="12"/>
  <c r="V3" i="12" s="1"/>
  <c r="AQ3" i="12" s="1"/>
  <c r="AI14" i="12"/>
  <c r="AI12" i="12"/>
  <c r="AI13" i="12"/>
  <c r="AI5" i="12"/>
  <c r="AI7" i="12"/>
  <c r="AI10" i="12"/>
  <c r="AI8" i="12"/>
  <c r="AI15" i="12"/>
  <c r="AI6" i="12"/>
  <c r="AI4" i="12"/>
  <c r="AI11" i="12"/>
  <c r="AI3" i="12"/>
  <c r="AC5" i="12" l="1"/>
  <c r="AE5" i="12" s="1"/>
  <c r="V5" i="12" s="1"/>
  <c r="AC4" i="12"/>
  <c r="AE4" i="12" s="1"/>
  <c r="V4" i="12" s="1"/>
  <c r="V6" i="12"/>
  <c r="AQ6" i="12" s="1"/>
  <c r="V11" i="12"/>
  <c r="AQ11" i="12" s="1"/>
  <c r="V7" i="12"/>
  <c r="AQ7" i="12" s="1"/>
  <c r="S8" i="12"/>
  <c r="S13" i="12"/>
  <c r="S15" i="12"/>
  <c r="S10" i="12"/>
  <c r="S12" i="12"/>
  <c r="S3" i="12"/>
  <c r="AQ5" i="12" l="1"/>
  <c r="S5" i="12"/>
  <c r="AQ4" i="12"/>
  <c r="S4" i="12" s="1"/>
  <c r="S11" i="12"/>
  <c r="S6" i="12"/>
  <c r="S7" i="12"/>
  <c r="S14" i="12"/>
</calcChain>
</file>

<file path=xl/sharedStrings.xml><?xml version="1.0" encoding="utf-8"?>
<sst xmlns="http://schemas.openxmlformats.org/spreadsheetml/2006/main" count="884" uniqueCount="596">
  <si>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</si>
  <si>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</si>
  <si>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</si>
  <si>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</si>
  <si>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</si>
  <si>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</si>
  <si>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</si>
  <si>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</si>
  <si>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</si>
  <si>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</si>
  <si>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</si>
  <si>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</si>
  <si>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</si>
  <si>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</si>
  <si>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</si>
  <si>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</si>
  <si>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</si>
  <si>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</si>
  <si>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</si>
  <si>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</si>
  <si>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</si>
  <si>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</si>
  <si>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</si>
  <si>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</si>
  <si>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</si>
  <si>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</si>
  <si>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</si>
  <si>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</si>
  <si>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</si>
  <si>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</si>
  <si>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</si>
  <si>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</si>
  <si>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</si>
  <si>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</si>
  <si>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</si>
  <si>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</si>
  <si>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</si>
  <si>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</si>
  <si>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</si>
  <si>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</si>
  <si>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</si>
  <si>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</si>
  <si>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</si>
  <si>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</si>
  <si>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</si>
  <si>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</si>
  <si>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</si>
  <si>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</si>
  <si>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</si>
  <si>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</si>
  <si>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</si>
  <si>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</si>
  <si>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</si>
  <si>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</si>
  <si>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</si>
  <si>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</si>
  <si>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</si>
  <si>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</si>
  <si>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</si>
  <si>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</si>
  <si>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</si>
  <si>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</si>
  <si>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</si>
  <si>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</si>
  <si>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</si>
  <si>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</si>
  <si>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</si>
  <si>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</si>
  <si>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</si>
  <si>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</si>
  <si>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</si>
  <si>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</si>
  <si>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</si>
  <si>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</si>
  <si>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</si>
  <si>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</si>
  <si>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</si>
  <si>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</si>
  <si>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</si>
  <si>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</si>
  <si>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</si>
  <si>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</si>
  <si>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</si>
  <si>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</si>
  <si>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</si>
  <si>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</si>
  <si>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</si>
  <si>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</si>
  <si>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</si>
  <si>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</si>
  <si>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</si>
  <si>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</si>
  <si>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</si>
  <si>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</si>
  <si>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</si>
  <si>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</si>
  <si>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</si>
  <si>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</si>
  <si>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</si>
  <si>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</si>
  <si>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</si>
  <si>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</si>
  <si>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</si>
  <si>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</si>
  <si>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</si>
  <si>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</si>
  <si>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</si>
  <si>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</si>
  <si>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</si>
  <si>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</si>
  <si>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</si>
  <si>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</si>
  <si>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</si>
  <si>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</si>
  <si>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</si>
  <si>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</si>
  <si>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</si>
  <si>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</si>
  <si>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</si>
  <si>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</si>
  <si>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</si>
  <si>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</si>
  <si>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</si>
  <si>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</si>
  <si>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</si>
  <si>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</si>
  <si>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</si>
  <si>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</si>
  <si>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</si>
  <si>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</si>
  <si>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</si>
  <si>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</si>
  <si>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</si>
  <si>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</si>
  <si>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</si>
  <si>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</si>
  <si>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</si>
  <si>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</si>
  <si>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</si>
  <si>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</si>
  <si>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</si>
  <si>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</si>
  <si>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</si>
  <si>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</si>
  <si>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</si>
  <si>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</si>
  <si>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</si>
  <si>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</si>
  <si>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</si>
  <si>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</si>
  <si>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</si>
  <si>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</si>
  <si>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</si>
  <si>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</si>
  <si>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</si>
  <si>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</si>
  <si>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</si>
  <si>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</si>
  <si>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</si>
  <si>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</si>
  <si>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</si>
  <si>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</si>
  <si>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</si>
  <si>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</si>
  <si>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</si>
  <si>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</si>
  <si>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</si>
  <si>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</si>
  <si>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</si>
  <si>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</si>
  <si>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</si>
  <si>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</si>
  <si>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</si>
  <si>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军阀重装上身</t>
    <phoneticPr fontId="1" type="noConversion"/>
  </si>
  <si>
    <t>A兵团上身</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</si>
  <si>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</si>
  <si>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</si>
  <si>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</si>
  <si>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</si>
  <si>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</si>
  <si>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</si>
  <si>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</si>
  <si>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</si>
  <si>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</si>
  <si>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</si>
  <si>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</si>
  <si>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</si>
  <si>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</si>
  <si>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</si>
  <si>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</si>
  <si>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</si>
  <si>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</si>
  <si>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</si>
  <si>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</si>
  <si>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</si>
  <si>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</si>
  <si>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</si>
  <si>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</si>
  <si>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</si>
  <si>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</si>
  <si>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</si>
  <si>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</si>
  <si>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</si>
  <si>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</si>
  <si>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</si>
  <si>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</si>
  <si>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</si>
  <si>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</si>
  <si>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</si>
  <si>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</si>
  <si>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</si>
  <si>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</si>
  <si>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</si>
  <si>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</si>
  <si>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</si>
  <si>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</si>
  <si>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</si>
  <si>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</si>
  <si>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</si>
  <si>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</si>
  <si>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</si>
  <si>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</si>
  <si>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</si>
  <si>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</si>
  <si>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</si>
  <si>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</si>
  <si>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</si>
  <si>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</si>
  <si>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</si>
  <si>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</si>
  <si>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</si>
  <si>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</si>
  <si>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</si>
  <si>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</si>
  <si>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</si>
  <si>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</si>
  <si>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</si>
  <si>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</si>
  <si>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</si>
  <si>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</si>
  <si>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</si>
  <si>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</si>
  <si>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</si>
  <si>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</si>
  <si>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</si>
  <si>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</si>
  <si>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</si>
  <si>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</si>
  <si>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</si>
  <si>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</si>
  <si>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</si>
  <si>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</si>
  <si>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</si>
  <si>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</si>
  <si>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</si>
  <si>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</si>
  <si>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</si>
  <si>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</si>
  <si>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</si>
  <si>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</si>
  <si>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</si>
  <si>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</si>
  <si>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</si>
  <si>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</si>
  <si>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</si>
  <si>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</si>
  <si>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</si>
  <si>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</si>
  <si>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</si>
  <si>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</si>
  <si>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</si>
  <si>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</si>
  <si>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</si>
  <si>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</si>
  <si>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</si>
  <si>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</si>
  <si>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</si>
  <si>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</si>
  <si>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</si>
  <si>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</si>
  <si>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</si>
  <si>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</si>
  <si>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</si>
  <si>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</si>
  <si>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</si>
  <si>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</si>
  <si>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</si>
  <si>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</si>
  <si>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</si>
  <si>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</si>
  <si>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</si>
  <si>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</si>
  <si>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</si>
  <si>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</si>
  <si>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</si>
  <si>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</si>
  <si>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</si>
  <si>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</si>
  <si>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</si>
  <si>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</si>
  <si>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</si>
  <si>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</si>
  <si>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</si>
  <si>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</si>
  <si>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</si>
  <si>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</si>
  <si>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</si>
  <si>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</si>
  <si>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</si>
  <si>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</si>
  <si>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</si>
  <si>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</si>
  <si>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</si>
  <si>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</si>
  <si>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</si>
  <si>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</si>
  <si>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</si>
  <si>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</si>
  <si>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</si>
  <si>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</si>
  <si>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</si>
  <si>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</si>
  <si>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</si>
  <si>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</si>
  <si>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</si>
  <si>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</si>
  <si>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</si>
  <si>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</si>
  <si>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</si>
  <si>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</si>
  <si>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</si>
  <si>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</si>
  <si>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</si>
  <si>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</si>
  <si>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</si>
  <si>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</si>
  <si>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</si>
  <si>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</si>
  <si>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</si>
  <si>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</si>
  <si>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</si>
  <si>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</si>
  <si>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</si>
  <si>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</si>
  <si>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</si>
  <si>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</si>
  <si>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</si>
  <si>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</si>
  <si>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</si>
  <si>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</si>
  <si>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</si>
  <si>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</si>
  <si>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</si>
  <si>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</si>
  <si>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</si>
  <si>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</si>
  <si>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</si>
  <si>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</si>
  <si>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</si>
  <si>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</si>
  <si>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</si>
  <si>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</si>
  <si>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</si>
  <si>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</si>
  <si>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</si>
  <si>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</si>
  <si>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</si>
  <si>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</si>
  <si>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</si>
  <si>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</si>
  <si>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</si>
  <si>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</si>
  <si>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</si>
  <si>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</si>
  <si>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</si>
  <si>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</si>
  <si>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</si>
  <si>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</si>
  <si>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</si>
  <si>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</si>
  <si>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</si>
  <si>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</si>
  <si>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</si>
  <si>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</si>
  <si>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</si>
  <si>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</si>
  <si>
    <t>刀/枪总加成</t>
    <phoneticPr fontId="1" type="noConversion"/>
  </si>
  <si>
    <t>法抗均值上限</t>
    <phoneticPr fontId="1" type="noConversion"/>
  </si>
  <si>
    <t>法抗最高上限</t>
    <phoneticPr fontId="1" type="noConversion"/>
  </si>
  <si>
    <t>魔法抗性单件不要过高。全属性抗性目前仅供参考，上下身各15点封顶，请尽可能避免在无作弊可得的物品内实装。特定法抗套装可有多种属性抗性，每种独立计算上限，但分数合并计算。</t>
    <phoneticPr fontId="1" type="noConversion"/>
  </si>
  <si>
    <t>由于项链通常限制等级填写不规范，可以获取时对应的玩家等级作为参考。</t>
    <phoneticPr fontId="1" type="noConversion"/>
  </si>
  <si>
    <t>钢铁小熊鞋</t>
    <phoneticPr fontId="1" type="noConversion"/>
  </si>
  <si>
    <t>伤害类型系数</t>
  </si>
  <si>
    <t>物理伤害为1，魔法伤害为2，真实伤害为3。混杂类可填中间值。</t>
    <phoneticPr fontId="1" type="noConversion"/>
  </si>
  <si>
    <t>废城</t>
  </si>
  <si>
    <t>阶段</t>
    <phoneticPr fontId="1" type="noConversion"/>
  </si>
  <si>
    <t>系数</t>
    <phoneticPr fontId="1" type="noConversion"/>
  </si>
  <si>
    <t>盗贼</t>
  </si>
  <si>
    <t>军阀</t>
  </si>
  <si>
    <t>注释</t>
    <phoneticPr fontId="1" type="noConversion"/>
  </si>
  <si>
    <t>总堂前期</t>
    <phoneticPr fontId="1" type="noConversion"/>
  </si>
  <si>
    <t>总堂后期</t>
    <phoneticPr fontId="1" type="noConversion"/>
  </si>
  <si>
    <t>诺亚前期</t>
    <phoneticPr fontId="1" type="noConversion"/>
  </si>
  <si>
    <t>诺亚后期</t>
    <phoneticPr fontId="1" type="noConversion"/>
  </si>
  <si>
    <t>雪山</t>
    <phoneticPr fontId="1" type="noConversion"/>
  </si>
  <si>
    <t>主线完结</t>
    <phoneticPr fontId="1" type="noConversion"/>
  </si>
  <si>
    <t>主线后</t>
    <phoneticPr fontId="1" type="noConversion"/>
  </si>
  <si>
    <t>10~15</t>
    <phoneticPr fontId="1" type="noConversion"/>
  </si>
  <si>
    <t>黑龙~深入禁区</t>
    <phoneticPr fontId="1" type="noConversion"/>
  </si>
  <si>
    <t>爪豪之后</t>
    <phoneticPr fontId="1" type="noConversion"/>
  </si>
  <si>
    <t>包括初见爪豪</t>
    <phoneticPr fontId="1" type="noConversion"/>
  </si>
  <si>
    <t>包括通缉犯，不包括黑龙</t>
    <phoneticPr fontId="1" type="noConversion"/>
  </si>
  <si>
    <t>装备6</t>
  </si>
  <si>
    <t>主线末尾</t>
    <phoneticPr fontId="1" type="noConversion"/>
  </si>
  <si>
    <t>阶段系数</t>
  </si>
  <si>
    <t>阶段系数</t>
    <phoneticPr fontId="1" type="noConversion"/>
  </si>
  <si>
    <t>对应阶段系数参考下方表格。达到当前流程中后期时可+0.5。</t>
    <phoneticPr fontId="1" type="noConversion"/>
  </si>
  <si>
    <t>档次系数</t>
    <phoneticPr fontId="1" type="noConversion"/>
  </si>
  <si>
    <t>档次</t>
    <phoneticPr fontId="1" type="noConversion"/>
  </si>
  <si>
    <t>小型小怪</t>
    <phoneticPr fontId="1" type="noConversion"/>
  </si>
  <si>
    <t>中型小怪</t>
    <phoneticPr fontId="1" type="noConversion"/>
  </si>
  <si>
    <t>大型小怪</t>
    <phoneticPr fontId="1" type="noConversion"/>
  </si>
  <si>
    <t>低级精英</t>
    <phoneticPr fontId="1" type="noConversion"/>
  </si>
  <si>
    <t>中级精英</t>
    <phoneticPr fontId="1" type="noConversion"/>
  </si>
  <si>
    <t>高级精英</t>
    <phoneticPr fontId="1" type="noConversion"/>
  </si>
  <si>
    <t>低级boss</t>
    <phoneticPr fontId="1" type="noConversion"/>
  </si>
  <si>
    <t>中级boss</t>
    <phoneticPr fontId="1" type="noConversion"/>
  </si>
  <si>
    <t>高级boss</t>
    <phoneticPr fontId="1" type="noConversion"/>
  </si>
  <si>
    <t>顶级boss</t>
    <phoneticPr fontId="1" type="noConversion"/>
  </si>
  <si>
    <t>举例和注释</t>
    <phoneticPr fontId="1" type="noConversion"/>
  </si>
  <si>
    <t>不同档次之间的系数有间隔，根据具体情况可插空或上下浮动</t>
    <phoneticPr fontId="1" type="noConversion"/>
  </si>
  <si>
    <t>例子：小僵尸（废城）。注释：毫无威胁的杂毛，凑数的。</t>
    <phoneticPr fontId="1" type="noConversion"/>
  </si>
  <si>
    <t>例子：普通重装兵（军阀）重装改造僵尸（诺亚前期）。注释：整体较强/偏科强其他中等的小怪，大量出现</t>
    <phoneticPr fontId="1" type="noConversion"/>
  </si>
  <si>
    <t>例子：军阀精英突击（军阀）黑铁武士（总堂后期）。注释：有威胁的精英怪，有时复数出现</t>
    <phoneticPr fontId="1" type="noConversion"/>
  </si>
  <si>
    <t>例子：军阀精英重装（军阀）黑铁重锤（总堂后期）。注释：数值接近小boss，出场数量需要控制</t>
    <phoneticPr fontId="1" type="noConversion"/>
  </si>
  <si>
    <t>档次定位仅相对于当前阶段，所举的例子也是仅相对于同阶段的档次，不代表具体数值强度。后期阶段的低档次怪物可比前期阶段的高档次怪物更强</t>
    <phoneticPr fontId="1" type="noConversion"/>
  </si>
  <si>
    <t>例子：黑铁（总堂后期）兽王（诺亚后期）。注释：同期阶段下极强的boss，预计将给玩家的存在感极高</t>
    <phoneticPr fontId="1" type="noConversion"/>
  </si>
  <si>
    <t>例子：单体摇滚公园（盗贼）半人马（诺亚前期）。注释：数值和高级精英差别不大，但基本性能强（通常表现在霸体或破韧），可能复数出现</t>
    <phoneticPr fontId="1" type="noConversion"/>
  </si>
  <si>
    <t>例子：巨斧僵尸（废城）方舟武士（军阀）大部分通缉犯（总堂前期）。注释：最常规的单体boss，在诺亚后期之前的流程不会同时出现超过1个</t>
    <phoneticPr fontId="1" type="noConversion"/>
  </si>
  <si>
    <t>高防低血系数</t>
    <phoneticPr fontId="1" type="noConversion"/>
  </si>
  <si>
    <t>速度系数</t>
    <phoneticPr fontId="1" type="noConversion"/>
  </si>
  <si>
    <t>攻速系数</t>
    <phoneticPr fontId="1" type="noConversion"/>
  </si>
  <si>
    <t>攻击倍率</t>
    <phoneticPr fontId="1" type="noConversion"/>
  </si>
  <si>
    <t>高攻低血防系数</t>
    <phoneticPr fontId="1" type="noConversion"/>
  </si>
  <si>
    <t>段数系数</t>
    <phoneticPr fontId="1" type="noConversion"/>
  </si>
  <si>
    <t>高攻低血防系数代表这个单位是否有更偏向攻击或防御的数值倾向，默认为1，范围为0.5~2。2代表攻击力明显更高，但血防明显更低，0.5代表血防明显更高，攻击力更低。</t>
    <phoneticPr fontId="1" type="noConversion"/>
  </si>
  <si>
    <t>HP最大值</t>
    <phoneticPr fontId="1" type="noConversion"/>
  </si>
  <si>
    <t>空手攻击MAX</t>
    <phoneticPr fontId="1" type="noConversion"/>
  </si>
  <si>
    <t>空手攻击MIN</t>
    <phoneticPr fontId="1" type="noConversion"/>
  </si>
  <si>
    <t>HP最小值</t>
    <phoneticPr fontId="1" type="noConversion"/>
  </si>
  <si>
    <t>防御力MAX</t>
    <phoneticPr fontId="1" type="noConversion"/>
  </si>
  <si>
    <t>防御力MIX</t>
    <phoneticPr fontId="1" type="noConversion"/>
  </si>
  <si>
    <t>经验MIN</t>
    <phoneticPr fontId="1" type="noConversion"/>
  </si>
  <si>
    <t>经验MAX</t>
    <phoneticPr fontId="1" type="noConversion"/>
  </si>
  <si>
    <t>速度系数为移动速度，分为1~3三个档次，分别为慢、中、快。慢速度大约在10-40区间，中速度大约在40-60区间，快速度大约在60-90区间。</t>
    <phoneticPr fontId="1" type="noConversion"/>
  </si>
  <si>
    <t>例子：高级通缉犯（总堂前期）黑龙两阶段之和（总堂后期）方舟爪豪（诺亚前期）。注释：较强的boss</t>
    <phoneticPr fontId="1" type="noConversion"/>
  </si>
  <si>
    <t>你的怪物：</t>
    <phoneticPr fontId="1" type="noConversion"/>
  </si>
  <si>
    <t>例子：胖僵尸（废城）左轮（盗贼）。注释：常规水平/偏科较强其他较弱的小怪，大量出现</t>
    <phoneticPr fontId="1" type="noConversion"/>
  </si>
  <si>
    <t>支线</t>
    <phoneticPr fontId="1" type="noConversion"/>
  </si>
  <si>
    <t>根据对应主线进度+1</t>
    <phoneticPr fontId="1" type="noConversion"/>
  </si>
  <si>
    <t>成长系数</t>
    <phoneticPr fontId="1" type="noConversion"/>
  </si>
  <si>
    <t>成长系数代表战宠跟随等级的面板与经验成长率，范围为0.5-2，默认为1。系数高代表低级时更弱但高等级时更强。其他参数不变时攻击、HP、防御力可以分别用不同的成长系数，经验则取以上成长系数的均值。</t>
    <phoneticPr fontId="1" type="noConversion"/>
  </si>
  <si>
    <t>K点价格</t>
    <phoneticPr fontId="1" type="noConversion"/>
  </si>
  <si>
    <t>大致约等于推荐参考值即可</t>
    <phoneticPr fontId="1" type="noConversion"/>
  </si>
  <si>
    <t>胖僵尸</t>
    <phoneticPr fontId="1" type="noConversion"/>
  </si>
  <si>
    <t>黑铁</t>
    <phoneticPr fontId="1" type="noConversion"/>
  </si>
  <si>
    <t>方舟武士</t>
    <phoneticPr fontId="1" type="noConversion"/>
  </si>
  <si>
    <t>颜色标注：</t>
    <phoneticPr fontId="1" type="noConversion"/>
  </si>
  <si>
    <t>黑铁流锤</t>
    <phoneticPr fontId="1" type="noConversion"/>
  </si>
  <si>
    <t>例子：精英战术少女（盗贼）黑铁流锤（总堂前期）。可经常复数出现的低级精英</t>
  </si>
  <si>
    <t>3~4</t>
    <phoneticPr fontId="1" type="noConversion"/>
  </si>
  <si>
    <t>5~6</t>
    <phoneticPr fontId="1" type="noConversion"/>
  </si>
  <si>
    <t>8~9</t>
    <phoneticPr fontId="1" type="noConversion"/>
  </si>
  <si>
    <t>高防低血系数代表这个单位是否有防御和血量的比例倾向，默认为1，通常范围为0.2~5，最大范围为0.1~10。数值越高代表防御越高，血量越低。视觉和设定上更硬的单位应该给更高的高防低血系数。</t>
    <phoneticPr fontId="1" type="noConversion"/>
  </si>
  <si>
    <t>攻击倍率、段数系数均为大致平均值即可，攻击倍率默认为1~2，通常为1~3。段数系数默认为3，大致区间为1~10。攻击倍率为平均每次攻击的平均倍率，同理段数系数为每次平均段数。固定值伤害根据大致比例进行平均。</t>
    <phoneticPr fontId="1" type="noConversion"/>
  </si>
  <si>
    <t>攻速系数只看单次攻击动作的总时长和前后摇的长度，实际代表攻击节奏快慢，默认为3，范围为1~5，代表极慢、慢、中等、快、极快。</t>
    <phoneticPr fontId="1" type="noConversion"/>
  </si>
  <si>
    <t>攻击类手套</t>
    <phoneticPr fontId="1" type="noConversion"/>
  </si>
  <si>
    <t>防御以外的单项属性占比过高时会占用更多数值模型，通常不要超过总分的一半。攻击类手套则是例外，对于空手加成相当于刀位，其他流派的手套的伤害加成也可以相对更高，参考下方。</t>
    <phoneticPr fontId="1" type="noConversion"/>
  </si>
  <si>
    <t>同一套装不同部件之间不要偏差过大，否则可能导致混装的强度较高。</t>
    <phoneticPr fontId="1" type="noConversion"/>
  </si>
  <si>
    <t>大僵尸</t>
    <phoneticPr fontId="1" type="noConversion"/>
  </si>
  <si>
    <t>短击退可击飞</t>
    <phoneticPr fontId="1" type="noConversion"/>
  </si>
  <si>
    <t>长击退可击飞</t>
    <phoneticPr fontId="1" type="noConversion"/>
  </si>
  <si>
    <t>长击退不可击飞</t>
    <phoneticPr fontId="1" type="noConversion"/>
  </si>
  <si>
    <t>短击退不可击飞</t>
    <phoneticPr fontId="1" type="noConversion"/>
  </si>
  <si>
    <t>不可击退不可击飞</t>
    <phoneticPr fontId="1" type="noConversion"/>
  </si>
  <si>
    <t>套装类型</t>
    <phoneticPr fontId="1" type="noConversion"/>
  </si>
  <si>
    <t>重甲</t>
    <phoneticPr fontId="1" type="noConversion"/>
  </si>
  <si>
    <t>中甲</t>
    <phoneticPr fontId="1" type="noConversion"/>
  </si>
  <si>
    <t>轻甲</t>
    <phoneticPr fontId="1" type="noConversion"/>
  </si>
  <si>
    <t>攻击套</t>
    <phoneticPr fontId="1" type="noConversion"/>
  </si>
  <si>
    <t>一般套</t>
    <phoneticPr fontId="1" type="noConversion"/>
  </si>
  <si>
    <t>流派类型</t>
    <phoneticPr fontId="1" type="noConversion"/>
  </si>
  <si>
    <t>刀剑</t>
    <phoneticPr fontId="1" type="noConversion"/>
  </si>
  <si>
    <t>套装大全</t>
    <phoneticPr fontId="1" type="noConversion"/>
  </si>
  <si>
    <t>通用</t>
    <phoneticPr fontId="1" type="noConversion"/>
  </si>
  <si>
    <t>枪械</t>
    <phoneticPr fontId="1" type="noConversion"/>
  </si>
  <si>
    <t>拳皇</t>
    <phoneticPr fontId="1" type="noConversion"/>
  </si>
  <si>
    <t>刀内力</t>
    <phoneticPr fontId="1" type="noConversion"/>
  </si>
  <si>
    <t>拳内力</t>
    <phoneticPr fontId="1" type="noConversion"/>
  </si>
  <si>
    <t>物防套</t>
    <phoneticPr fontId="1" type="noConversion"/>
  </si>
  <si>
    <t>魔抗套</t>
    <phoneticPr fontId="1" type="noConversion"/>
  </si>
  <si>
    <t>血防套</t>
    <phoneticPr fontId="1" type="noConversion"/>
  </si>
  <si>
    <t>档次系数注释：</t>
    <phoneticPr fontId="1" type="noConversion"/>
  </si>
  <si>
    <t>霸体系数</t>
    <phoneticPr fontId="1" type="noConversion"/>
  </si>
  <si>
    <t>阶段、档次系数、霸体系数参考下方表格。阶段和档次系数将决定整体数值大致水平。对于拥有暖机、强力buff、多阶段等显著影响面板的特殊机制单位可能不适用。</t>
    <phoneticPr fontId="1" type="noConversion"/>
  </si>
  <si>
    <t>霸体系数注释：</t>
    <phoneticPr fontId="1" type="noConversion"/>
  </si>
  <si>
    <t>以击退/击飞动画决定霸体系数的整数位。当怪物的韧性系数值高于20时则添加小数位，每20点韧性增加0.1的霸体系数，最高0.5</t>
    <phoneticPr fontId="1" type="noConversion"/>
  </si>
  <si>
    <t>短刀为0.5，常规刀为1，长武器为1.5，特效+0.5（强力特效则+1），强力战技+0.5（战技不强时可不加）。</t>
    <phoneticPr fontId="1" type="noConversion"/>
  </si>
  <si>
    <t>纵向联弹填入霰弹值计算见右下方</t>
    <phoneticPr fontId="1" type="noConversion"/>
  </si>
  <si>
    <t>穿刺系数</t>
  </si>
  <si>
    <t>填入霰弹值</t>
    <phoneticPr fontId="1" type="noConversion"/>
  </si>
  <si>
    <t>split值</t>
    <phoneticPr fontId="1" type="noConversion"/>
  </si>
  <si>
    <t>(xml数据)</t>
    <phoneticPr fontId="1" type="noConversion"/>
  </si>
  <si>
    <t>纵向联弹填入公式霰弹值计算</t>
    <phoneticPr fontId="1" type="noConversion"/>
  </si>
  <si>
    <t>横向联弹则直接填split原始值即可</t>
    <phoneticPr fontId="1" type="noConversion"/>
  </si>
  <si>
    <t>大容量机枪（弹容≥125）的弹容量种族优势可额外换2-3层级，对应种族价格系数，可叠加武器价格层级。穿刺枪的种族优势为群攻，散弹的种族优势为吃拐率，不反映在面板上，所以无额外加权层级。</t>
    <phoneticPr fontId="1" type="noConversion"/>
  </si>
  <si>
    <t>大容量机枪（弹容≥125）为1.5，喷火器类为1.5，散弹枪为1.5，轰炸类为1.5，次级穿刺为1.5，穿刺类为2。只掉落、无法金币或k点购买的武器为0.5，非购买途径明显早于购买途径的物品也为0.5。</t>
    <phoneticPr fontId="1" type="noConversion"/>
  </si>
  <si>
    <t>面板转换的基本计算参考下方，公式暂定为1攻=1.5防=3hp=3mp，1重量=3.3攻=5防=10hp=10mp，1攻=0.8空手加成=1伤害加成。以此为依据可进行面板转换。</t>
    <phoneticPr fontId="1" type="noConversion"/>
  </si>
  <si>
    <t>面板转换</t>
    <phoneticPr fontId="1" type="noConversion"/>
  </si>
  <si>
    <t>hp</t>
    <phoneticPr fontId="1" type="noConversion"/>
  </si>
  <si>
    <t>mp</t>
    <phoneticPr fontId="1" type="noConversion"/>
  </si>
  <si>
    <t>攻击</t>
    <phoneticPr fontId="1" type="noConversion"/>
  </si>
  <si>
    <t>换算的总攻击</t>
    <phoneticPr fontId="1" type="noConversion"/>
  </si>
  <si>
    <t>换算的总攻击≈上方推荐锋利度</t>
    <phoneticPr fontId="1" type="noConversion"/>
  </si>
  <si>
    <t>无需修改。</t>
    <phoneticPr fontId="1" type="noConversion"/>
  </si>
  <si>
    <t>武器类型解锁等级:10级:特效刀/次级穿刺枪/普通霰弹枪;20级:慢射速穿刺枪;30级:高射速穿刺枪/穿刺霰弹枪;35级:属性刀/慢射速属性枪/高射速穿刺霰弹枪;40级:普通属性枪/慢射速穿刺属性枪;45级:高射速穿刺属性枪。</t>
    <phoneticPr fontId="1" type="noConversion"/>
  </si>
  <si>
    <t>限制等级低于35级的全属性伤害冷兵器视为超前武器（如果是冲伤则为30级），需减少一层加权等级，可减到负数。如果是混伤，属性伤害占总伤比例低于50%的解锁等级为20级，低于30%则为10级。</t>
    <phoneticPr fontId="1" type="noConversion"/>
  </si>
  <si>
    <t>攻击倍率以物理伤害为准，法伤、真伤招式最好降低倍率。计算填入此处的攻击倍率（大致平均值）时，要将实际的法伤招式的倍率*2，真伤招式的倍率*3来折算计算。怪物魔抗属性目前没有硬性限制，根据情况配置即可。</t>
    <phoneticPr fontId="1" type="noConversion"/>
  </si>
  <si>
    <t>20~25</t>
    <phoneticPr fontId="1" type="noConversion"/>
  </si>
  <si>
    <t>单发类射击间隔：长枪固定填800，短枪固定填400</t>
    <phoneticPr fontId="1" type="noConversion"/>
  </si>
  <si>
    <t>平衡基础dps</t>
    <phoneticPr fontId="1" type="noConversion"/>
  </si>
  <si>
    <t>经济加成dps</t>
    <phoneticPr fontId="1" type="noConversion"/>
  </si>
  <si>
    <t>榴弹类子弹抛物线难以瞄准，可以以2倍弹药价格填入作为强度补正</t>
    <phoneticPr fontId="1" type="noConversion"/>
  </si>
  <si>
    <t>种族系数</t>
    <phoneticPr fontId="1" type="noConversion"/>
  </si>
  <si>
    <t>材料价格、装备折算价格、掉落物价格可参考下方计算。种族系数参考上一页装备价格页的注释。</t>
    <phoneticPr fontId="1" type="noConversion"/>
  </si>
  <si>
    <t>有主动战技/特效的可为1.5，效果极其强力时为2。无购买途径或非购买途径早于购买途径的为0.5，逻辑同上。</t>
    <phoneticPr fontId="1" type="noConversion"/>
  </si>
  <si>
    <t>加权层数：</t>
    <phoneticPr fontId="1" type="noConversion"/>
  </si>
  <si>
    <t>低价合成计1层，高价加成+1层，K点加成+1层。合成装备最低为1层，无需k点时最高为2层，需要k点时可填入2或3层。40级以上的装备解锁第4层。确定层级后填入表中的加权层级。</t>
    <phoneticPr fontId="1" type="noConversion"/>
  </si>
  <si>
    <t>拥有购买以外获取方式的武器装备请勿添加由装备价格获取的正向加权层数。</t>
    <phoneticPr fontId="1" type="noConversion"/>
  </si>
  <si>
    <t>强度远超等级限制的彩蛋装备：可以解锁超过2层的价格系数，但大于2层时【种族系数】额外+1，即最低为2，此时高种姓装备或强力特效装备的种族系数填2.5-3</t>
    <phoneticPr fontId="1" type="noConversion"/>
  </si>
  <si>
    <t>高价加成的详细解释请参考装备价格页面的计算。全新玩法可获得版本红利期，期间可额外叠加1层，仅在装备数值页计入，不计入合成成本，无需填入此公式。其他特殊来源加权同样不计入。</t>
    <phoneticPr fontId="1" type="noConversion"/>
  </si>
  <si>
    <t>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</si>
  <si>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超前武器需要减少一层加权，可减为负数。具体可查看下方的解锁等级。额外属性中，暂定0.15%击溃、15%吸血、10%斩杀、25%概率暴击分别是上限值而且各占一层加权（低等级武器的上限要相应打折）。</t>
    <phoneticPr fontId="1" type="noConversion"/>
  </si>
  <si>
    <t>喷火/次级穿刺子弹/高弹速(60+)穿刺狙击枪的穿刺系数为1.5，普通穿刺为2，非穿刺为1（其他拥有穿刺效果根据单体段数数量填入穿刺系数，段数较多时可填3或更高的穿刺系数）。</t>
    <phoneticPr fontId="1" type="noConversion"/>
  </si>
  <si>
    <t>示例hp药</t>
    <phoneticPr fontId="1" type="noConversion"/>
  </si>
  <si>
    <t>玩家等级</t>
    <phoneticPr fontId="1" type="noConversion"/>
  </si>
  <si>
    <t>数值上限</t>
    <phoneticPr fontId="1" type="noConversion"/>
  </si>
  <si>
    <t>推荐价格</t>
    <phoneticPr fontId="1" type="noConversion"/>
  </si>
  <si>
    <t>当前数值</t>
    <phoneticPr fontId="1" type="noConversion"/>
  </si>
  <si>
    <t>（填写前方数值使得当前数值小于数值上限）</t>
    <phoneticPr fontId="1" type="noConversion"/>
  </si>
  <si>
    <t>净化值</t>
    <phoneticPr fontId="1" type="noConversion"/>
  </si>
  <si>
    <t>剧毒性</t>
    <phoneticPr fontId="1" type="noConversion"/>
  </si>
  <si>
    <t>buff类的数值</t>
    <phoneticPr fontId="1" type="noConversion"/>
  </si>
  <si>
    <t>药剂类的数值</t>
    <phoneticPr fontId="1" type="noConversion"/>
  </si>
  <si>
    <t>需要手动填写</t>
    <phoneticPr fontId="1" type="noConversion"/>
  </si>
  <si>
    <t>药剂基础公式</t>
    <phoneticPr fontId="1" type="noConversion"/>
  </si>
  <si>
    <t>非缓释填0</t>
    <phoneticPr fontId="1" type="noConversion"/>
  </si>
  <si>
    <t>buff-hp</t>
    <phoneticPr fontId="1" type="noConversion"/>
  </si>
  <si>
    <t>buff-mp</t>
    <phoneticPr fontId="1" type="noConversion"/>
  </si>
  <si>
    <t>buff-防御</t>
    <phoneticPr fontId="1" type="noConversion"/>
  </si>
  <si>
    <t>buff-伤害</t>
    <phoneticPr fontId="1" type="noConversion"/>
  </si>
  <si>
    <t>buff-空手</t>
    <phoneticPr fontId="1" type="noConversion"/>
  </si>
  <si>
    <t>无限填0</t>
    <phoneticPr fontId="1" type="noConversion"/>
  </si>
  <si>
    <t>是否群体</t>
    <phoneticPr fontId="1" type="noConversion"/>
  </si>
  <si>
    <t>buff-持续帧</t>
    <phoneticPr fontId="1" type="noConversion"/>
  </si>
  <si>
    <t>buff-魔抗</t>
    <phoneticPr fontId="1" type="noConversion"/>
  </si>
  <si>
    <t>全属性时*2</t>
    <phoneticPr fontId="1" type="noConversion"/>
  </si>
  <si>
    <t>你的药：</t>
    <phoneticPr fontId="1" type="noConversion"/>
  </si>
  <si>
    <t>示例mp药</t>
    <phoneticPr fontId="1" type="noConversion"/>
  </si>
  <si>
    <t>示例战队药箱</t>
    <phoneticPr fontId="1" type="noConversion"/>
  </si>
  <si>
    <t>示例稀释的毒</t>
    <phoneticPr fontId="1" type="noConversion"/>
  </si>
  <si>
    <t>示例净化药剂</t>
    <phoneticPr fontId="1" type="noConversion"/>
  </si>
  <si>
    <t>buff-魔抗填入的是单属性增加值。如果是全属性，则填入值需要是buff增加值的2倍。</t>
    <phoneticPr fontId="1" type="noConversion"/>
  </si>
  <si>
    <t>示例魔抗药剂</t>
    <phoneticPr fontId="1" type="noConversion"/>
  </si>
  <si>
    <t>玩家等级：</t>
    <phoneticPr fontId="1" type="noConversion"/>
  </si>
  <si>
    <t>指该药剂主要服务的大致的玩家等级。主线赠送药剂按主线进度，掉落药剂按掉落进度，以最早可批量获取的进度为准。</t>
    <phoneticPr fontId="1" type="noConversion"/>
  </si>
  <si>
    <t>只可购买/合成的药剂按你认为这个药应该什么时候使用为准，并可使数值贴合数值上限，合成类的合成成本需要和价格一致。</t>
    <phoneticPr fontId="1" type="noConversion"/>
  </si>
  <si>
    <t>当前数值小于数值上限即可。当前数值越接近数值上限，代表药剂强度越接近或适当超过玩家等级。</t>
    <phoneticPr fontId="1" type="noConversion"/>
  </si>
  <si>
    <t>药剂的途径应该较为专精，不必要的属性填0即可。请避免出现需要服用的恢复药剂有需要涂在武器上的剧毒性等冲突情况出现。</t>
    <phoneticPr fontId="1" type="noConversion"/>
  </si>
  <si>
    <t>群体填1</t>
    <phoneticPr fontId="1" type="noConversion"/>
  </si>
  <si>
    <t>恢复药强度</t>
    <phoneticPr fontId="1" type="noConversion"/>
  </si>
  <si>
    <t>净化强度</t>
    <phoneticPr fontId="1" type="noConversion"/>
  </si>
  <si>
    <t>剧毒强度</t>
    <phoneticPr fontId="1" type="noConversion"/>
  </si>
  <si>
    <t>buff强度</t>
    <phoneticPr fontId="1" type="noConversion"/>
  </si>
  <si>
    <t>buff类的填入值是固定加值，暂定禁止百分比加成buff药剂，除了加速、加防、魔抗类。换算关系见下。</t>
    <phoneticPr fontId="1" type="noConversion"/>
  </si>
  <si>
    <t>（此后为自动计算的辅助计算属性，不用管）</t>
    <phoneticPr fontId="1" type="noConversion"/>
  </si>
  <si>
    <t>buff换算</t>
    <phoneticPr fontId="1" type="noConversion"/>
  </si>
  <si>
    <t>倍率</t>
    <phoneticPr fontId="1" type="noConversion"/>
  </si>
  <si>
    <t>速度</t>
    <phoneticPr fontId="1" type="noConversion"/>
  </si>
  <si>
    <t>buff-速度</t>
    <phoneticPr fontId="1" type="noConversion"/>
  </si>
  <si>
    <t>防御、速度buff区间在1-1.8，魔抗单属性1-2.2，全属性1-2</t>
    <phoneticPr fontId="1" type="noConversion"/>
  </si>
  <si>
    <t>换算加值</t>
    <phoneticPr fontId="1" type="noConversion"/>
  </si>
  <si>
    <t>填写倍率，得到换算的加值，将加值填入公式</t>
    <phoneticPr fontId="1" type="noConversion"/>
  </si>
  <si>
    <t>原始推荐价格</t>
    <phoneticPr fontId="1" type="noConversion"/>
  </si>
  <si>
    <t>缓释持续帧</t>
    <phoneticPr fontId="1" type="noConversion"/>
  </si>
  <si>
    <t>hp、mp的上限值是1500。缓释持续帧在60-600之间（即2秒-20秒）。</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</si>
</sst>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 "/>
    <numFmt numFmtId="177" formatCode="0.0_ "/>
  </numFmts>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54">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xf numFmtId="0" fontId="0" fillId="0" borderId="0" xfId="0" applyAlignment="1">
      <alignment horizontal="right"/>
    </xf>
    <xf numFmtId="58" fontId="8" fillId="5" borderId="2" xfId="0" applyNumberFormat="1" applyFont="1" applyFill="1" applyBorder="1" applyAlignment="1">
      <alignment horizontal="right"/>
    </xf>
    <xf numFmtId="0" fontId="8" fillId="5" borderId="2" xfId="0" applyFont="1" applyFill="1" applyBorder="1" applyAlignment="1">
      <alignment horizontal="right"/>
    </xf>
    <xf numFmtId="0" fontId="0" fillId="0" borderId="2" xfId="0" applyBorder="1" applyAlignment="1">
      <alignment horizontal="right"/>
    </xf>
    <xf numFmtId="0" fontId="0" fillId="0" borderId="2" xfId="0" applyBorder="1" applyAlignment="1">
      <alignment horizontal="left"/>
    </xf>
    <xf numFmtId="0" fontId="8" fillId="5" borderId="2" xfId="0" applyFont="1" applyFill="1" applyBorder="1" applyAlignment="1">
      <alignment horizontal="left"/>
    </xf>
    <xf numFmtId="176" fontId="8" fillId="5" borderId="2" xfId="0" applyNumberFormat="1" applyFont="1" applyFill="1" applyBorder="1"/>
    <xf numFmtId="176" fontId="0" fillId="0" borderId="2" xfId="0" applyNumberFormat="1" applyBorder="1"/>
    <xf numFmtId="176" fontId="0" fillId="0" borderId="0" xfId="0" applyNumberFormat="1"/>
    <xf numFmtId="0" fontId="3" fillId="0" borderId="2" xfId="0" applyFont="1" applyBorder="1"/>
    <xf numFmtId="177" fontId="8" fillId="5" borderId="2" xfId="0" applyNumberFormat="1" applyFont="1" applyFill="1" applyBorder="1"/>
    <xf numFmtId="0" fontId="8" fillId="3" borderId="2" xfId="0" applyFont="1" applyFill="1" applyBorder="1"/>
  </cellXfs>
  <cellStyles count="1">
    <cellStyle name="一般" xfId="0" builtinId="0"/>
  </cellStyles>
  <dxfs count="33">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Q22" totalsRowShown="0" headerRowDxfId="32">
  <tableColumns count="42">
    <tableColumn id="1" xr3:uid="{9622EC47-0B3C-4F87-80A9-38E2551B5BEB}" name="示例类型" dataDxfId="31"/>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30">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9">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8"/>
    <tableColumn id="14" xr3:uid="{4E0BF69B-7EA4-42AA-ACAB-4DD530D9863F}" name="平衡dps" dataDxfId="27">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6">
      <calculatedColumnFormula>表2_5[[#This Row],[限制等级]]*250*表2_5[[#This Row],[射击间隔]]*表2_5[[#This Row],[弹容量]]/1000</calculatedColumnFormula>
    </tableColumn>
    <tableColumn id="18" xr3:uid="{1D45EC77-0BCE-4784-8749-FF6132165C8B}" name="平衡周期伤害" dataDxfId="25">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4">
      <calculatedColumnFormula>表2_5[[#This Row],[平衡周期伤害]]*1.25^表2_5[[#This Row],[额外加权层数]]</calculatedColumnFormula>
    </tableColumn>
    <tableColumn id="16" xr3:uid="{07F68A49-F531-49B9-BE7A-451B8108367A}" name="裸伤dps" dataDxfId="23">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42" xr3:uid="{78149331-6766-4B21-97F5-6543BE2E0064}" name="平衡基础dps" dataDxfId="22">
      <calculatedColumnFormula>( 表2_5[[#This Row],[限制等级]]*120*表2_5[[#This Row],[冲击力系数]]*表2_5[[#This Row],[周期伤害系数]]/1.6^(表2_5[[#This Row],[伤害类型系数]]-1)+表2_5[[#This Row],[重量]]*66/表2_5[[#This Row],[伤害类型系数]] )/1.5^(表2_5[[#This Row],[双枪系数]]-1)</calculatedColumnFormula>
    </tableColumn>
    <tableColumn id="43" xr3:uid="{7C5DC5B5-FB5B-43A3-A51A-F9427B7AB40B}" name="经济加成dps" dataDxfId="21">
      <calculatedColumnFormula xml:space="preserve"> (1000*(表2_5[[#This Row],[弹夹价格]]*6/表2_5[[#This Row],[伤害类型系数]])/(表2_5[[#This Row],[射击间隔]]*(表2_5[[#This Row],[弹容量]]-1)+900*表2_5[[#This Row],[双枪系数]]))/1.5^(表2_5[[#This Row],[双枪系数]]-1)</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IF(AN31&gt;=35,15*AN31-300,5*AN31+25)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O25:AQ30" totalsRowShown="0">
  <autoFilter ref="AO25:AQ30" xr:uid="{55FA9E23-8BFC-46D4-BAD9-82BF30D0709B}"/>
  <tableColumns count="3">
    <tableColumn id="1" xr3:uid="{175B7766-4B20-4B31-932D-D2FDAD403F44}" name="伤害加成" dataDxfId="10"/>
    <tableColumn id="2" xr3:uid="{E828ECFB-EC93-47F0-9A6F-7E5C622BFDC8}" name="强化" dataDxfId="9">
      <calculatedColumnFormula>表5[[#This Row],[伤害加成]]*IF(AN26&gt;=25, 1 + (MIN(13,(AN26-18)/3.5) - 1) * (MIN(13,(AN26-18)/3.5)  - 1) / 100 + 0.05 * (MIN(13,(AN26-18)/3.5)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T21" totalsRowShown="0" headerRowDxfId="8">
  <tableColumns count="19">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20" xr3:uid="{98FF735E-0C81-4B78-998C-277C7A2E9E95}" name="刀/枪总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法抗均值上限" dataDxfId="6">
      <calculatedColumnFormula>10+表2_2[[#This Row],[限制等级]]*0.2</calculatedColumnFormula>
    </tableColumn>
    <tableColumn id="17" xr3:uid="{2A71EA5E-6A4C-44FD-9B0C-0AEFEAC81C2E}" name="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种族系数"/>
    <tableColumn id="4" xr3:uid="{2D1B6CA9-69B2-4514-8C8A-6903E1E6E5B4}" name="金币需求"/>
    <tableColumn id="5" xr3:uid="{082A6221-E42F-4A2B-A99C-A6FF346D4B68}" name="K点需求"/>
    <tableColumn id="6" xr3:uid="{782FEFA7-3376-4DF1-ACF6-09C6BA0C3D0A}" name="材料价格"/>
    <tableColumn id="8" xr3:uid="{08D7957F-427D-4716-92B4-8BAEB7939CD4}" name="装备折算价格"/>
    <tableColumn id="9" xr3:uid="{E466C456-790B-44B9-A7C4-75C77501A694}" name="掉落物折算价格"/>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Q33"/>
  <sheetViews>
    <sheetView tabSelected="1" zoomScaleNormal="100" workbookViewId="0">
      <selection activeCell="D8" sqref="D8"/>
    </sheetView>
  </sheetViews>
  <sheetFormatPr defaultRowHeight="14" x14ac:dyDescent="0.3"/>
  <cols>
    <col min="1" max="1" width="17.5" customWidth="1"/>
    <col min="2" max="2" width="13.1640625" customWidth="1"/>
    <col min="3" max="3" width="15.08203125" customWidth="1"/>
    <col min="4" max="4" width="8" customWidth="1"/>
    <col min="5" max="5" width="8.08203125" customWidth="1"/>
    <col min="6" max="6" width="8.83203125" customWidth="1"/>
    <col min="7" max="7" width="8.08203125" customWidth="1"/>
    <col min="8" max="9" width="7.83203125" customWidth="1"/>
    <col min="10" max="10" width="7.75" customWidth="1"/>
    <col min="11" max="11" width="7.6640625" customWidth="1"/>
    <col min="12" max="12" width="12.1640625" customWidth="1"/>
    <col min="13" max="13" width="7.58203125" customWidth="1"/>
    <col min="14" max="14" width="6.83203125" customWidth="1"/>
    <col min="15" max="15" width="12.1640625" customWidth="1"/>
    <col min="19" max="19" width="9.08203125" customWidth="1"/>
    <col min="20" max="20" width="12.1640625" customWidth="1"/>
    <col min="21" max="21" width="12.5" customWidth="1"/>
    <col min="23" max="23" width="9.6640625" customWidth="1"/>
    <col min="24" max="25" width="11.1640625" customWidth="1"/>
    <col min="26" max="26" width="7.33203125" customWidth="1"/>
    <col min="27" max="28" width="11.1640625" customWidth="1"/>
    <col min="29" max="29" width="10.83203125" customWidth="1"/>
    <col min="30" max="30" width="7.6640625" customWidth="1"/>
    <col min="31" max="31" width="10.83203125" customWidth="1"/>
    <col min="32" max="32" width="8.08203125" customWidth="1"/>
    <col min="33" max="33" width="6.58203125" customWidth="1"/>
    <col min="34" max="34" width="7.75" customWidth="1"/>
    <col min="35" max="35" width="10.83203125" customWidth="1"/>
    <col min="36" max="37" width="8.08203125" customWidth="1"/>
    <col min="38" max="38" width="4.58203125" customWidth="1"/>
    <col min="39" max="39" width="9.83203125" customWidth="1"/>
    <col min="40" max="40" width="11.5" customWidth="1"/>
    <col min="41" max="41" width="9.5" customWidth="1"/>
    <col min="42" max="42" width="7.1640625" customWidth="1"/>
    <col min="43" max="43" width="11.33203125" customWidth="1"/>
  </cols>
  <sheetData>
    <row r="1" spans="1:43" x14ac:dyDescent="0.3">
      <c r="A1" t="s">
        <v>258</v>
      </c>
      <c r="D1" t="s">
        <v>45</v>
      </c>
      <c r="E1" t="s">
        <v>42</v>
      </c>
      <c r="F1" t="s">
        <v>43</v>
      </c>
      <c r="G1" t="s">
        <v>44</v>
      </c>
      <c r="I1" t="s">
        <v>290</v>
      </c>
      <c r="L1" t="s">
        <v>265</v>
      </c>
      <c r="M1" t="s">
        <v>41</v>
      </c>
      <c r="N1" t="s">
        <v>288</v>
      </c>
      <c r="O1" t="s">
        <v>161</v>
      </c>
      <c r="Q1" s="1" t="s">
        <v>361</v>
      </c>
      <c r="V1" t="s">
        <v>301</v>
      </c>
    </row>
    <row r="2" spans="1:43" x14ac:dyDescent="0.3">
      <c r="A2" t="s">
        <v>302</v>
      </c>
      <c r="B2" s="10" t="s">
        <v>273</v>
      </c>
      <c r="C2" s="10" t="s">
        <v>49</v>
      </c>
      <c r="D2" s="8" t="s">
        <v>14</v>
      </c>
      <c r="E2" s="8" t="s">
        <v>1</v>
      </c>
      <c r="F2" s="8" t="s">
        <v>2</v>
      </c>
      <c r="G2" s="8" t="s">
        <v>3</v>
      </c>
      <c r="H2" s="8" t="s">
        <v>10</v>
      </c>
      <c r="I2" s="8" t="s">
        <v>165</v>
      </c>
      <c r="J2" s="9" t="s">
        <v>6</v>
      </c>
      <c r="K2" s="9" t="s">
        <v>4</v>
      </c>
      <c r="L2" s="9" t="s">
        <v>264</v>
      </c>
      <c r="M2" s="8" t="s">
        <v>158</v>
      </c>
      <c r="N2" s="8" t="s">
        <v>287</v>
      </c>
      <c r="O2" s="8" t="s">
        <v>12</v>
      </c>
      <c r="P2" s="11" t="s">
        <v>216</v>
      </c>
      <c r="Q2" s="14" t="s">
        <v>282</v>
      </c>
      <c r="R2" s="11" t="s">
        <v>217</v>
      </c>
      <c r="S2" s="14" t="s">
        <v>286</v>
      </c>
      <c r="T2" s="11" t="s">
        <v>298</v>
      </c>
      <c r="U2" s="11" t="s">
        <v>215</v>
      </c>
      <c r="V2" s="14" t="s">
        <v>285</v>
      </c>
      <c r="W2" s="14" t="s">
        <v>283</v>
      </c>
      <c r="X2" s="14" t="s">
        <v>291</v>
      </c>
      <c r="Y2" s="14" t="s">
        <v>299</v>
      </c>
      <c r="Z2" s="14" t="s">
        <v>362</v>
      </c>
      <c r="AA2" s="14" t="s">
        <v>530</v>
      </c>
      <c r="AB2" s="14" t="s">
        <v>531</v>
      </c>
      <c r="AC2" s="14" t="s">
        <v>363</v>
      </c>
      <c r="AD2" s="14" t="s">
        <v>364</v>
      </c>
      <c r="AE2" s="14" t="s">
        <v>365</v>
      </c>
      <c r="AF2" s="14" t="s">
        <v>370</v>
      </c>
      <c r="AG2" s="14" t="s">
        <v>369</v>
      </c>
      <c r="AH2" s="14" t="s">
        <v>371</v>
      </c>
      <c r="AI2" s="14" t="s">
        <v>366</v>
      </c>
      <c r="AJ2" s="14" t="s">
        <v>281</v>
      </c>
      <c r="AK2" s="14" t="s">
        <v>164</v>
      </c>
      <c r="AL2" s="14" t="s">
        <v>263</v>
      </c>
      <c r="AM2" s="14" t="s">
        <v>289</v>
      </c>
      <c r="AN2" s="14" t="s">
        <v>300</v>
      </c>
      <c r="AO2" s="14" t="s">
        <v>284</v>
      </c>
      <c r="AP2" s="14" t="s">
        <v>280</v>
      </c>
      <c r="AQ2" s="14" t="s">
        <v>318</v>
      </c>
    </row>
    <row r="3" spans="1:43" x14ac:dyDescent="0.3">
      <c r="B3" s="2" t="s">
        <v>13</v>
      </c>
      <c r="C3" t="s">
        <v>15</v>
      </c>
      <c r="D3">
        <v>7</v>
      </c>
      <c r="E3">
        <v>110</v>
      </c>
      <c r="F3">
        <v>120</v>
      </c>
      <c r="G3">
        <v>30</v>
      </c>
      <c r="H3">
        <v>200</v>
      </c>
      <c r="I3">
        <v>4</v>
      </c>
      <c r="J3">
        <v>1</v>
      </c>
      <c r="K3">
        <v>1</v>
      </c>
      <c r="L3">
        <v>1</v>
      </c>
      <c r="M3">
        <v>1</v>
      </c>
      <c r="N3">
        <v>30</v>
      </c>
      <c r="O3">
        <v>0</v>
      </c>
      <c r="Q3">
        <f>1000*表2_5[[#This Row],[周期伤害]]/(表2_5[[#This Row],[射击间隔]]*(表2_5[[#This Row],[弹容量]]-1)+900*表2_5[[#This Row],[双枪系数]])</f>
        <v>2020.6549657534247</v>
      </c>
      <c r="S3">
        <f>表2_5[[#This Row],[平衡dps]]*表2_5[[#This Row],[周期dps系数]]*表2_5[[#This Row],[吃拐系数]]*1.1^表2_5[[#This Row],[额外加权层数]]</f>
        <v>2025.708644772579</v>
      </c>
      <c r="V3">
        <f>表2_5[[#This Row],[平衡裸伤dps]]+表2_5[[#This Row],[平衡增益dps]]</f>
        <v>2031.4614237768487</v>
      </c>
      <c r="W3">
        <f>(表2_5[[#This Row],[子弹威力]]*1.5+30+表2_5[[#This Row],[子弹威力]]*2*表2_5[[#This Row],[限制等级]]/256+表2_5[[#This Row],[伤害加成]]+表2_5[[#This Row],[剧毒]]/(表2_5[[#This Row],[霰弹值]]*3^(表2_5[[#This Row],[穿刺系数]]-1)))*表2_5[[#This Row],[穿刺系数]]*表2_5[[#This Row],[弹容量]]*(1+(表2_5[[#This Row],[霰弹值]]-1)*0.5)</f>
        <v>8850.46875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8130.4000000000005</v>
      </c>
      <c r="Y3">
        <f>表2_5[[#This Row],[平衡周期伤害]]*1.25^表2_5[[#This Row],[额外加权层数]]</f>
        <v>8130.4000000000005</v>
      </c>
      <c r="Z3">
        <f>1000*(表2_5[[#This Row],[子弹威力]]*1.5+30)*表2_5[[#This Row],[穿刺系数]]*表2_5[[#This Row],[弹容量]]*(1+(表2_5[[#This Row],[霰弹值]]-1)*0.5)/(表2_5[[#This Row],[射击间隔]]*(表2_5[[#This Row],[弹容量]]-1)+900*表2_5[[#This Row],[双枪系数]])</f>
        <v>1335.6164383561643</v>
      </c>
      <c r="AA3">
        <f>( 表2_5[[#This Row],[限制等级]]*120*表2_5[[#This Row],[冲击力系数]]*表2_5[[#This Row],[周期伤害系数]]/1.6^(表2_5[[#This Row],[伤害类型系数]]-1)+表2_5[[#This Row],[重量]]*66/表2_5[[#This Row],[伤害类型系数]] )/1.5^(表2_5[[#This Row],[双枪系数]]-1)</f>
        <v>1072.1268978886758</v>
      </c>
      <c r="AB3">
        <f xml:space="preserve"> (1000*(表2_5[[#This Row],[弹夹价格]]*6/表2_5[[#This Row],[伤害类型系数]])/(表2_5[[#This Row],[射击间隔]]*(表2_5[[#This Row],[弹容量]]-1)+900*表2_5[[#This Row],[双枪系数]]))/1.5^(表2_5[[#This Row],[双枪系数]]-1)</f>
        <v>273.97260273972603</v>
      </c>
      <c r="AC3">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1346.0995006284018</v>
      </c>
      <c r="AD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685.03852739726028</v>
      </c>
      <c r="AE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685.36192314844709</v>
      </c>
      <c r="AF3">
        <f>1000*表2_5[[#This Row],[弹容量]]/(表2_5[[#This Row],[射击间隔]]*(表2_5[[#This Row],[弹容量]]-1)+900*表2_5[[#This Row],[双枪系数]])</f>
        <v>6.8493150684931505</v>
      </c>
      <c r="AG3">
        <f>1000*(表2_5[[#This Row],[穿刺系数]]*表2_5[[#This Row],[弹容量]]*(1+(表2_5[[#This Row],[霰弹值]]-1)*0.5)/(表2_5[[#This Row],[射击间隔]]*(表2_5[[#This Row],[弹容量]]-1)+900*表2_5[[#This Row],[双枪系数]]))</f>
        <v>6.8493150684931505</v>
      </c>
      <c r="AH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1842.9896488815355</v>
      </c>
      <c r="AJ3">
        <f>(表2_5[[#This Row],[子弹威力]]*1.5+30+表2_5[[#This Row],[子弹威力]]*2*表2_5[[#This Row],[限制等级]]/256+表2_5[[#This Row],[伤害加成]]+表2_5[[#This Row],[剧毒]]/表2_5[[#This Row],[霰弹值]])</f>
        <v>295.015625</v>
      </c>
      <c r="AK3">
        <f>IF(表2_5[[#This Row],[限制等级]]&gt;=35,17*表2_5[[#This Row],[限制等级]]-330,7*表2_5[[#This Row],[限制等级]]+15) * IF(表2_5[[#This Row],[限制等级]]&gt;=25, 1 + (MIN(13,(表2_5[[#This Row],[限制等级]]-18)/3.5) - 1) * (MIN(13,(表2_5[[#This Row],[限制等级]]-18)/3.5)  - 1) / 100 + 0.05 * (MIN(13,(表2_5[[#This Row],[限制等级]]-18)/3.5)  - 1),1)</f>
        <v>64</v>
      </c>
      <c r="AL3">
        <f>IF(表2_5[[#This Row],[限制等级]]&gt;=30,120,30)</f>
        <v>30</v>
      </c>
      <c r="AM3">
        <f>0.9+(1.1-0.9)*表2_5[[#This Row],[冲击力]]/(表2_5[[#This Row],[冲击力]]+50)</f>
        <v>0.97500000000000009</v>
      </c>
      <c r="AN3">
        <f>IF(表2_5[[#This Row],[周期伤害]] &lt;=表2_5[[#This Row],[加权周期伤害]]* 5,0.7+0.6/(1+EXP(-(表2_5[[#This Row],[加权周期伤害]]-表2_5[[#This Row],[周期伤害]])/(表2_5[[#This Row],[加权周期伤害]]))),0.1+1.5/(1+EXP(-(表2_5[[#This Row],[加权周期伤害]]-表2_5[[#This Row],[周期伤害]])/(表2_5[[#This Row],[加权周期伤害]]*10))))</f>
        <v>0.98672392904600204</v>
      </c>
      <c r="AO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2020.6549657534247</v>
      </c>
      <c r="AP3">
        <f>1000*表2_5[[#This Row],[周期伤害]]/MAX(表2_5[[#This Row],[射击间隔]]*(表2_5[[#This Row],[弹容量]]-1),100/表2_5[[#This Row],[双枪系数]])</f>
        <v>2543.2381465517242</v>
      </c>
      <c r="AQ3">
        <f>IF(表2_5[[#This Row],[周期dps]]&lt;=表2_5[[#This Row],[平衡dps]] * 2,0.85+0.3365/(1+EXP(-(表2_5[[#This Row],[平衡dps]]-表2_5[[#This Row],[周期dps]])/(表2_5[[#This Row],[平衡dps]]))),0.75+0.7/(1+EXP(-(表2_5[[#This Row],[平衡dps]]-表2_5[[#This Row],[周期dps]])/(表2_5[[#This Row],[平衡dps]]))))</f>
        <v>0.99716815739795128</v>
      </c>
    </row>
    <row r="4" spans="1:43" x14ac:dyDescent="0.3">
      <c r="B4" s="2" t="s">
        <v>18</v>
      </c>
      <c r="C4" t="s">
        <v>24</v>
      </c>
      <c r="D4" s="3">
        <v>22</v>
      </c>
      <c r="E4" s="3">
        <v>150</v>
      </c>
      <c r="F4" s="3">
        <v>120</v>
      </c>
      <c r="G4" s="3">
        <v>40</v>
      </c>
      <c r="H4" s="3">
        <v>200</v>
      </c>
      <c r="I4" s="3">
        <v>4</v>
      </c>
      <c r="J4" s="3">
        <v>1</v>
      </c>
      <c r="K4" s="3">
        <v>1.5</v>
      </c>
      <c r="L4">
        <v>1</v>
      </c>
      <c r="M4" s="3">
        <v>1</v>
      </c>
      <c r="N4" s="3">
        <v>40</v>
      </c>
      <c r="O4" s="3">
        <v>0</v>
      </c>
      <c r="Q4">
        <f>1000*表2_5[[#This Row],[周期伤害]]/(表2_5[[#This Row],[射击间隔]]*(表2_5[[#This Row],[弹容量]]-1)+900*表2_5[[#This Row],[双枪系数]])</f>
        <v>5022.5995492009542</v>
      </c>
      <c r="S4">
        <f>表2_5[[#This Row],[平衡dps]]*表2_5[[#This Row],[周期dps系数]]*表2_5[[#This Row],[吃拐系数]]*1.1^表2_5[[#This Row],[额外加权层数]]</f>
        <v>5003.5002146671241</v>
      </c>
      <c r="V4">
        <f>表2_5[[#This Row],[平衡裸伤dps]]+表2_5[[#This Row],[平衡增益dps]]</f>
        <v>4995.5845774057798</v>
      </c>
      <c r="W4">
        <f>(表2_5[[#This Row],[子弹威力]]*1.5+30+表2_5[[#This Row],[子弹威力]]*2*表2_5[[#This Row],[限制等级]]/256+表2_5[[#This Row],[伤害加成]]+表2_5[[#This Row],[剧毒]]/(表2_5[[#This Row],[霰弹值]]*3^(表2_5[[#This Row],[穿刺系数]]-1)))*表2_5[[#This Row],[穿刺系数]]*表2_5[[#This Row],[弹容量]]*(1+(表2_5[[#This Row],[霰弹值]]-1)*0.5)</f>
        <v>28026.105484541327</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27914.400000000001</v>
      </c>
      <c r="Y4">
        <f>表2_5[[#This Row],[平衡周期伤害]]*1.25^表2_5[[#This Row],[额外加权层数]]</f>
        <v>27914.400000000001</v>
      </c>
      <c r="Z4">
        <f>1000*(表2_5[[#This Row],[子弹威力]]*1.5+30)*表2_5[[#This Row],[穿刺系数]]*表2_5[[#This Row],[弹容量]]*(1+(表2_5[[#This Row],[霰弹值]]-1)*0.5)/(表2_5[[#This Row],[射击间隔]]*(表2_5[[#This Row],[弹容量]]-1)+900*表2_5[[#This Row],[双枪系数]])</f>
        <v>2741.9354838709678</v>
      </c>
      <c r="AA4">
        <f>( 表2_5[[#This Row],[限制等级]]*120*表2_5[[#This Row],[冲击力系数]]*表2_5[[#This Row],[周期伤害系数]]/1.6^(表2_5[[#This Row],[伤害类型系数]]-1)+表2_5[[#This Row],[重量]]*66/表2_5[[#This Row],[伤害类型系数]] )/1.5^(表2_5[[#This Row],[双枪系数]]-1)</f>
        <v>2873.0995970047261</v>
      </c>
      <c r="AB4">
        <f xml:space="preserve"> (1000*(表2_5[[#This Row],[弹夹价格]]*6/表2_5[[#This Row],[伤害类型系数]])/(表2_5[[#This Row],[射击间隔]]*(表2_5[[#This Row],[弹容量]]-1)+900*表2_5[[#This Row],[双枪系数]]))/1.5^(表2_5[[#This Row],[双枪系数]]-1)</f>
        <v>215.05376344086022</v>
      </c>
      <c r="AC4">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3088.1533604455863</v>
      </c>
      <c r="AD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2280.6640653299869</v>
      </c>
      <c r="AE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1907.4312169601935</v>
      </c>
      <c r="AF4">
        <f>1000*表2_5[[#This Row],[弹容量]]/(表2_5[[#This Row],[射击间隔]]*(表2_5[[#This Row],[弹容量]]-1)+900*表2_5[[#This Row],[双枪系数]])</f>
        <v>7.1684587813620073</v>
      </c>
      <c r="AG4">
        <f>1000*(表2_5[[#This Row],[穿刺系数]]*表2_5[[#This Row],[弹容量]]*(1+(表2_5[[#This Row],[霰弹值]]-1)*0.5)/(表2_5[[#This Row],[射击间隔]]*(表2_5[[#This Row],[弹容量]]-1)+900*表2_5[[#This Row],[双枪系数]]))</f>
        <v>10.752688172043012</v>
      </c>
      <c r="AH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5132.4390809284996</v>
      </c>
      <c r="AJ4">
        <f>(表2_5[[#This Row],[子弹威力]]*1.5+30+表2_5[[#This Row],[子弹威力]]*2*表2_5[[#This Row],[限制等级]]/256+表2_5[[#This Row],[伤害加成]]+表2_5[[#This Row],[剧毒]]/表2_5[[#This Row],[霰弹值]])</f>
        <v>479.78125</v>
      </c>
      <c r="AK4">
        <f>IF(表2_5[[#This Row],[限制等级]]&gt;=35,17*表2_5[[#This Row],[限制等级]]-330,7*表2_5[[#This Row],[限制等级]]+15) * IF(表2_5[[#This Row],[限制等级]]&gt;=25, 1 + (MIN(13,(表2_5[[#This Row],[限制等级]]-18)/3.5) - 1) * (MIN(13,(表2_5[[#This Row],[限制等级]]-18)/3.5)  - 1) / 100 + 0.05 * (MIN(13,(表2_5[[#This Row],[限制等级]]-18)/3.5)  - 1),1)</f>
        <v>169</v>
      </c>
      <c r="AL4">
        <f>IF(表2_5[[#This Row],[限制等级]]&gt;=30,120,30)</f>
        <v>30</v>
      </c>
      <c r="AM4">
        <f>0.9+(1.1-0.9)*表2_5[[#This Row],[冲击力]]/(表2_5[[#This Row],[冲击力]]+50)</f>
        <v>0.98888888888888893</v>
      </c>
      <c r="AN4">
        <f>IF(表2_5[[#This Row],[周期伤害]] &lt;=表2_5[[#This Row],[加权周期伤害]]* 5,0.7+0.6/(1+EXP(-(表2_5[[#This Row],[加权周期伤害]]-表2_5[[#This Row],[周期伤害]])/(表2_5[[#This Row],[加权周期伤害]]))),0.1+1.5/(1+EXP(-(表2_5[[#This Row],[加权周期伤害]]-表2_5[[#This Row],[周期伤害]])/(表2_5[[#This Row],[加权周期伤害]]*10))))</f>
        <v>0.99939974349006344</v>
      </c>
      <c r="AO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5022.5995492009542</v>
      </c>
      <c r="AP4">
        <f>1000*表2_5[[#This Row],[周期伤害]]/MAX(表2_5[[#This Row],[射击间隔]]*(表2_5[[#This Row],[弹容量]]-1),100/表2_5[[#This Row],[双枪系数]])</f>
        <v>5988.4840778934458</v>
      </c>
      <c r="AQ4">
        <f>IF(表2_5[[#This Row],[周期dps]]&lt;=表2_5[[#This Row],[平衡dps]] * 2,0.85+0.3365/(1+EXP(-(表2_5[[#This Row],[平衡dps]]-表2_5[[#This Row],[周期dps]])/(表2_5[[#This Row],[平衡dps]]))),0.75+0.7/(1+EXP(-(表2_5[[#This Row],[平衡dps]]-表2_5[[#This Row],[周期dps]])/(表2_5[[#This Row],[平衡dps]]))))</f>
        <v>1.0015845267232879</v>
      </c>
    </row>
    <row r="5" spans="1:43" x14ac:dyDescent="0.3">
      <c r="A5" s="2" t="s">
        <v>144</v>
      </c>
      <c r="B5" s="2" t="s">
        <v>266</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4086.4074043371693</v>
      </c>
      <c r="V5">
        <f>表2_5[[#This Row],[平衡裸伤dps]]+表2_5[[#This Row],[平衡增益dps]]</f>
        <v>3700.1462170438035</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Row],[限制等级]]*120*表2_5[[#This Row],[冲击力系数]]*表2_5[[#This Row],[周期伤害系数]]/1.6^(表2_5[[#This Row],[伤害类型系数]]-1)+表2_5[[#This Row],[重量]]*66/表2_5[[#This Row],[伤害类型系数]] )/1.5^(表2_5[[#This Row],[双枪系数]]-1)</f>
        <v>2081.9840799978415</v>
      </c>
      <c r="AB5">
        <f xml:space="preserve"> (1000*(表2_5[[#This Row],[弹夹价格]]*6/表2_5[[#This Row],[伤害类型系数]])/(表2_5[[#This Row],[射击间隔]]*(表2_5[[#This Row],[弹容量]]-1)+900*表2_5[[#This Row],[双枪系数]]))/1.5^(表2_5[[#This Row],[双枪系数]]-1)</f>
        <v>834.20229405630869</v>
      </c>
      <c r="AC5">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2916.1863740541503</v>
      </c>
      <c r="AD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E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783.95984298965334</v>
      </c>
      <c r="AF5">
        <f>1000*表2_5[[#This Row],[弹容量]]/(表2_5[[#This Row],[射击间隔]]*(表2_5[[#This Row],[弹容量]]-1)+900*表2_5[[#This Row],[双枪系数]])</f>
        <v>8.342022940563087</v>
      </c>
      <c r="AG5">
        <f>1000*(表2_5[[#This Row],[穿刺系数]]*表2_5[[#This Row],[弹容量]]*(1+(表2_5[[#This Row],[霰弹值]]-1)*0.5)/(表2_5[[#This Row],[射击间隔]]*(表2_5[[#This Row],[弹容量]]-1)+900*表2_5[[#This Row],[双枪系数]]))</f>
        <v>12.513034410844631</v>
      </c>
      <c r="AH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J5">
        <f>(表2_5[[#This Row],[子弹威力]]*1.5+30+表2_5[[#This Row],[子弹威力]]*2*表2_5[[#This Row],[限制等级]]/256+表2_5[[#This Row],[伤害加成]]+表2_5[[#This Row],[剧毒]]/表2_5[[#This Row],[霰弹值]])</f>
        <v>326.15625</v>
      </c>
      <c r="AK5">
        <f>IF(表2_5[[#This Row],[限制等级]]&gt;=35,17*表2_5[[#This Row],[限制等级]]-330,7*表2_5[[#This Row],[限制等级]]+15) * IF(表2_5[[#This Row],[限制等级]]&gt;=25, 1 + (MIN(13,(表2_5[[#This Row],[限制等级]]-18)/3.5) - 1) * (MIN(13,(表2_5[[#This Row],[限制等级]]-18)/3.5)  - 1) / 100 + 0.05 * (MIN(13,(表2_5[[#This Row],[限制等级]]-18)/3.5)  - 1),1)</f>
        <v>106</v>
      </c>
      <c r="AL5">
        <f>IF(表2_5[[#This Row],[限制等级]]&gt;=30,120,30)</f>
        <v>30</v>
      </c>
      <c r="AM5">
        <f>0.9+(1.1-0.9)*表2_5[[#This Row],[冲击力]]/(表2_5[[#This Row],[冲击力]]+50)</f>
        <v>1.0990049751243782</v>
      </c>
      <c r="AN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O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P5">
        <f>1000*表2_5[[#This Row],[周期伤害]]/MAX(表2_5[[#This Row],[射击间隔]]*(表2_5[[#This Row],[弹容量]]-1),100/表2_5[[#This Row],[双枪系数]])</f>
        <v>4328.7929768794766</v>
      </c>
      <c r="AQ5">
        <f>IF(表2_5[[#This Row],[周期dps]]&lt;=表2_5[[#This Row],[平衡dps]] * 2,0.85+0.3365/(1+EXP(-(表2_5[[#This Row],[平衡dps]]-表2_5[[#This Row],[周期dps]])/(表2_5[[#This Row],[平衡dps]]))),0.75+0.7/(1+EXP(-(表2_5[[#This Row],[平衡dps]]-表2_5[[#This Row],[周期dps]])/(表2_5[[#This Row],[平衡dps]]))))</f>
        <v>1.0039916274153877</v>
      </c>
    </row>
    <row r="6" spans="1:43" x14ac:dyDescent="0.3">
      <c r="A6" s="2"/>
      <c r="B6" s="1" t="s">
        <v>25</v>
      </c>
      <c r="C6" t="s">
        <v>274</v>
      </c>
      <c r="D6" s="12">
        <v>30</v>
      </c>
      <c r="E6" s="12">
        <v>260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8159.4099504208452</v>
      </c>
      <c r="S6" s="17">
        <f>表2_5[[#This Row],[平衡dps]]*表2_5[[#This Row],[周期dps系数]]*表2_5[[#This Row],[吃拐系数]]*1.1^表2_5[[#This Row],[额外加权层数]]</f>
        <v>8093.757784481234</v>
      </c>
      <c r="V6">
        <f>表2_5[[#This Row],[平衡裸伤dps]]+表2_5[[#This Row],[平衡增益dps]]</f>
        <v>8091.3454019548099</v>
      </c>
      <c r="W6">
        <f>(表2_5[[#This Row],[子弹威力]]*1.5+30+表2_5[[#This Row],[子弹威力]]*2*表2_5[[#This Row],[限制等级]]/256+表2_5[[#This Row],[伤害加成]]+表2_5[[#This Row],[剧毒]]/(表2_5[[#This Row],[霰弹值]]*3^(表2_5[[#This Row],[穿刺系数]]-1)))*表2_5[[#This Row],[穿刺系数]]*表2_5[[#This Row],[弹容量]]*(1+(表2_5[[#This Row],[霰弹值]]-1)*0.5)</f>
        <v>43326.466836734689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3954.8022598870057</v>
      </c>
      <c r="AA6">
        <f>( 表2_5[[#This Row],[限制等级]]*120*表2_5[[#This Row],[冲击力系数]]*表2_5[[#This Row],[周期伤害系数]]/1.6^(表2_5[[#This Row],[伤害类型系数]]-1)+表2_5[[#This Row],[重量]]*66/表2_5[[#This Row],[伤害类型系数]] )/1.5^(表2_5[[#This Row],[双枪系数]]-1)</f>
        <v>3649.6101907985617</v>
      </c>
      <c r="AB6">
        <f xml:space="preserve"> (1000*(表2_5[[#This Row],[弹夹价格]]*6/表2_5[[#This Row],[伤害类型系数]])/(表2_5[[#This Row],[射击间隔]]*(表2_5[[#This Row],[弹容量]]-1)+900*表2_5[[#This Row],[双枪系数]]))/1.5^(表2_5[[#This Row],[双枪系数]]-1)</f>
        <v>225.98870056497177</v>
      </c>
      <c r="AC6">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3875.5988913635333</v>
      </c>
      <c r="AD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4204.6076905338405</v>
      </c>
      <c r="AE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4215.7465105912761</v>
      </c>
      <c r="AF6">
        <f>1000*表2_5[[#This Row],[弹容量]]/(表2_5[[#This Row],[射击间隔]]*(表2_5[[#This Row],[弹容量]]-1)+900*表2_5[[#This Row],[双枪系数]])</f>
        <v>9.4161958568738235</v>
      </c>
      <c r="AG6">
        <f>1000*(表2_5[[#This Row],[穿刺系数]]*表2_5[[#This Row],[弹容量]]*(1+(表2_5[[#This Row],[霰弹值]]-1)*0.5)/(表2_5[[#This Row],[射击间隔]]*(表2_5[[#This Row],[弹容量]]-1)+900*表2_5[[#This Row],[双枪系数]]))</f>
        <v>9.4161958568738218</v>
      </c>
      <c r="AH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6533.639561076945</v>
      </c>
      <c r="AJ6">
        <f>(表2_5[[#This Row],[子弹威力]]*1.5+30+表2_5[[#This Row],[子弹威力]]*2*表2_5[[#This Row],[限制等级]]/256+表2_5[[#This Row],[伤害加成]]+表2_5[[#This Row],[剧毒]]/表2_5[[#This Row],[霰弹值]])</f>
        <v>866.52933673469386</v>
      </c>
      <c r="AK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L6">
        <f>IF(表2_5[[#This Row],[限制等级]]&gt;=30,120,30)</f>
        <v>120</v>
      </c>
      <c r="AM6">
        <f>0.9+(1.1-0.9)*表2_5[[#This Row],[冲击力]]/(表2_5[[#This Row],[冲击力]]+50)</f>
        <v>0.98235294117647065</v>
      </c>
      <c r="AN6">
        <f>IF(表2_5[[#This Row],[周期伤害]] &lt;=表2_5[[#This Row],[加权周期伤害]]* 5,0.7+0.6/(1+EXP(-(表2_5[[#This Row],[加权周期伤害]]-表2_5[[#This Row],[周期伤害]])/(表2_5[[#This Row],[加权周期伤害]]))),0.1+1.5/(1+EXP(-(表2_5[[#This Row],[加权周期伤害]]-表2_5[[#This Row],[周期伤害]])/(表2_5[[#This Row],[加权周期伤害]]*10))))</f>
        <v>0.97600421230165579</v>
      </c>
      <c r="AO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8159.4099504208452</v>
      </c>
      <c r="AP6">
        <f>1000*表2_5[[#This Row],[周期伤害]]/MAX(表2_5[[#This Row],[射击间隔]]*(表2_5[[#This Row],[弹容量]]-1),100/表2_5[[#This Row],[双枪系数]])</f>
        <v>9824.5956545883655</v>
      </c>
      <c r="AQ6">
        <f>IF(表2_5[[#This Row],[周期dps]]&lt;=表2_5[[#This Row],[平衡dps]] * 2,0.85+0.3365/(1+EXP(-(表2_5[[#This Row],[平衡dps]]-表2_5[[#This Row],[周期dps]])/(表2_5[[#This Row],[平衡dps]]))),0.75+0.7/(1+EXP(-(表2_5[[#This Row],[平衡dps]]-表2_5[[#This Row],[周期dps]])/(表2_5[[#This Row],[平衡dps]]))))</f>
        <v>1.0002981435603826</v>
      </c>
    </row>
    <row r="7" spans="1:43" x14ac:dyDescent="0.3">
      <c r="A7" s="6" t="s">
        <v>146</v>
      </c>
      <c r="B7" s="3"/>
      <c r="C7" t="s">
        <v>276</v>
      </c>
      <c r="D7" s="12">
        <v>28</v>
      </c>
      <c r="E7" s="12">
        <v>1300</v>
      </c>
      <c r="F7" s="12">
        <v>650</v>
      </c>
      <c r="G7" s="12">
        <v>9</v>
      </c>
      <c r="H7" s="12">
        <v>1000</v>
      </c>
      <c r="I7" s="12">
        <v>8</v>
      </c>
      <c r="J7" s="13">
        <v>1</v>
      </c>
      <c r="K7" s="12">
        <v>2</v>
      </c>
      <c r="L7" s="12">
        <v>1</v>
      </c>
      <c r="M7" s="12">
        <v>1</v>
      </c>
      <c r="N7" s="12">
        <v>3</v>
      </c>
      <c r="O7" s="12">
        <v>0</v>
      </c>
      <c r="Q7" s="17">
        <f>1000*表2_5[[#This Row],[周期伤害]]/(表2_5[[#This Row],[射击间隔]]*(表2_5[[#This Row],[弹容量]]-1)+900*表2_5[[#This Row],[双枪系数]])</f>
        <v>7413.1825694212112</v>
      </c>
      <c r="S7" s="17">
        <f>表2_5[[#This Row],[平衡dps]]*表2_5[[#This Row],[周期dps系数]]*表2_5[[#This Row],[吃拐系数]]*1.1^表2_5[[#This Row],[额外加权层数]]</f>
        <v>7465.0324315059643</v>
      </c>
      <c r="V7">
        <f>表2_5[[#This Row],[平衡裸伤dps]]+表2_5[[#This Row],[平衡增益dps]]</f>
        <v>7435.1735866335648</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5842.622950819672</v>
      </c>
      <c r="AA7">
        <f>( 表2_5[[#This Row],[限制等级]]*120*表2_5[[#This Row],[冲击力系数]]*表2_5[[#This Row],[周期伤害系数]]/1.6^(表2_5[[#This Row],[伤害类型系数]]-1)+表2_5[[#This Row],[重量]]*66/表2_5[[#This Row],[伤害类型系数]] )/1.5^(表2_5[[#This Row],[双枪系数]]-1)</f>
        <v>3513.6969711868874</v>
      </c>
      <c r="AB7">
        <f xml:space="preserve"> (1000*(表2_5[[#This Row],[弹夹价格]]*6/表2_5[[#This Row],[伤害类型系数]])/(表2_5[[#This Row],[射击间隔]]*(表2_5[[#This Row],[弹容量]]-1)+900*表2_5[[#This Row],[双枪系数]]))/1.5^(表2_5[[#This Row],[双枪系数]]-1)</f>
        <v>983.60655737704917</v>
      </c>
      <c r="AC7">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4497.3035285639362</v>
      </c>
      <c r="AD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1570.5596186015389</v>
      </c>
      <c r="AE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2937.8700580696286</v>
      </c>
      <c r="AF7">
        <f>1000*表2_5[[#This Row],[弹容量]]/(表2_5[[#This Row],[射击间隔]]*(表2_5[[#This Row],[弹容量]]-1)+900*表2_5[[#This Row],[双枪系数]])</f>
        <v>1.4754098360655739</v>
      </c>
      <c r="AG7">
        <f>1000*(表2_5[[#This Row],[穿刺系数]]*表2_5[[#This Row],[弹容量]]*(1+(表2_5[[#This Row],[霰弹值]]-1)*0.5)/(表2_5[[#This Row],[射击间隔]]*(表2_5[[#This Row],[弹容量]]-1)+900*表2_5[[#This Row],[双枪系数]]))</f>
        <v>2.9508196721311477</v>
      </c>
      <c r="AH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7004.0280678948675</v>
      </c>
      <c r="AJ7">
        <f>(表2_5[[#This Row],[子弹威力]]*1.5+30+表2_5[[#This Row],[子弹威力]]*2*表2_5[[#This Row],[限制等级]]/256+表2_5[[#This Row],[伤害加成]]+表2_5[[#This Row],[剧毒]]/表2_5[[#This Row],[霰弹值]])</f>
        <v>2532.2452040816329</v>
      </c>
      <c r="AK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L7">
        <f>IF(表2_5[[#This Row],[限制等级]]&gt;=30,120,30)</f>
        <v>30</v>
      </c>
      <c r="AM7">
        <f>0.9+(1.1-0.9)*表2_5[[#This Row],[冲击力]]/(表2_5[[#This Row],[冲击力]]+50)</f>
        <v>0.91132075471698115</v>
      </c>
      <c r="AN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O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7413.1825694212112</v>
      </c>
      <c r="AP7">
        <f>1000*表2_5[[#This Row],[周期伤害]]/MAX(表2_5[[#This Row],[射击间隔]]*(表2_5[[#This Row],[弹容量]]-1),100/表2_5[[#This Row],[双枪系数]])</f>
        <v>8696.2333987441125</v>
      </c>
      <c r="AQ7">
        <f>IF(表2_5[[#This Row],[周期dps]]&lt;=表2_5[[#This Row],[平衡dps]] * 2,0.85+0.3365/(1+EXP(-(表2_5[[#This Row],[平衡dps]]-表2_5[[#This Row],[周期dps]])/(表2_5[[#This Row],[平衡dps]]))),0.75+0.7/(1+EXP(-(表2_5[[#This Row],[平衡dps]]-表2_5[[#This Row],[周期dps]])/(表2_5[[#This Row],[平衡dps]]))))</f>
        <v>1.0040158907555403</v>
      </c>
    </row>
    <row r="8" spans="1:43" x14ac:dyDescent="0.3">
      <c r="A8" s="6" t="s">
        <v>147</v>
      </c>
      <c r="B8" s="3"/>
      <c r="C8" t="s">
        <v>278</v>
      </c>
      <c r="D8" s="12">
        <v>35</v>
      </c>
      <c r="E8" s="12">
        <v>900</v>
      </c>
      <c r="F8" s="12">
        <v>100</v>
      </c>
      <c r="G8" s="12">
        <v>10</v>
      </c>
      <c r="H8" s="12">
        <v>500</v>
      </c>
      <c r="I8" s="12">
        <v>3</v>
      </c>
      <c r="J8" s="13">
        <v>1</v>
      </c>
      <c r="K8" s="12">
        <v>1</v>
      </c>
      <c r="L8" s="12">
        <v>1</v>
      </c>
      <c r="M8" s="12">
        <v>1</v>
      </c>
      <c r="N8" s="12">
        <v>10</v>
      </c>
      <c r="O8" s="12">
        <v>0</v>
      </c>
      <c r="Q8" s="17">
        <f>1000*表2_5[[#This Row],[周期伤害]]/(表2_5[[#This Row],[射击间隔]]*(表2_5[[#This Row],[弹容量]]-1)+900*表2_5[[#This Row],[双枪系数]])</f>
        <v>11675.702239229027</v>
      </c>
      <c r="S8" s="17">
        <f>表2_5[[#This Row],[平衡dps]]*表2_5[[#This Row],[周期dps系数]]*表2_5[[#This Row],[吃拐系数]]*1.1^表2_5[[#This Row],[额外加权层数]]</f>
        <v>11263.353178290545</v>
      </c>
      <c r="V8">
        <f>表2_5[[#This Row],[平衡裸伤dps]]+表2_5[[#This Row],[平衡增益dps]]</f>
        <v>11938.57755418683</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42810.400000000001</v>
      </c>
      <c r="Y8">
        <f>表2_5[[#This Row],[平衡周期伤害]]*1.25^表2_5[[#This Row],[额外加权层数]]</f>
        <v>42810.400000000001</v>
      </c>
      <c r="Z8">
        <f>1000*(表2_5[[#This Row],[子弹威力]]*1.5+30)*表2_5[[#This Row],[穿刺系数]]*表2_5[[#This Row],[弹容量]]*(1+(表2_5[[#This Row],[霰弹值]]-1)*0.5)/(表2_5[[#This Row],[射击间隔]]*(表2_5[[#This Row],[弹容量]]-1)+900*表2_5[[#This Row],[双枪系数]])</f>
        <v>7666.666666666667</v>
      </c>
      <c r="AA8">
        <f>( 表2_5[[#This Row],[限制等级]]*120*表2_5[[#This Row],[冲击力系数]]*表2_5[[#This Row],[周期伤害系数]]/1.6^(表2_5[[#This Row],[伤害类型系数]]-1)+表2_5[[#This Row],[重量]]*66/表2_5[[#This Row],[伤害类型系数]] )/1.5^(表2_5[[#This Row],[双枪系数]]-1)</f>
        <v>4411.0403174750154</v>
      </c>
      <c r="AB8">
        <f xml:space="preserve"> (1000*(表2_5[[#This Row],[弹夹价格]]*6/表2_5[[#This Row],[伤害类型系数]])/(表2_5[[#This Row],[射击间隔]]*(表2_5[[#This Row],[弹容量]]-1)+900*表2_5[[#This Row],[双枪系数]]))/1.5^(表2_5[[#This Row],[双枪系数]]-1)</f>
        <v>1666.6666666666667</v>
      </c>
      <c r="AC8">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6077.7069841416824</v>
      </c>
      <c r="AD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4009.0355725623576</v>
      </c>
      <c r="AE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5860.8705700451474</v>
      </c>
      <c r="AF8">
        <f>1000*表2_5[[#This Row],[弹容量]]/(表2_5[[#This Row],[射击间隔]]*(表2_5[[#This Row],[弹容量]]-1)+900*表2_5[[#This Row],[双枪系数]])</f>
        <v>5.5555555555555554</v>
      </c>
      <c r="AG8">
        <f>1000*(表2_5[[#This Row],[穿刺系数]]*表2_5[[#This Row],[弹容量]]*(1+(表2_5[[#This Row],[霰弹值]]-1)*0.5)/(表2_5[[#This Row],[射击间隔]]*(表2_5[[#This Row],[弹容量]]-1)+900*表2_5[[#This Row],[双枪系数]]))</f>
        <v>5.5555555555555554</v>
      </c>
      <c r="AH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9983.7464921642149</v>
      </c>
      <c r="AJ8">
        <f>(表2_5[[#This Row],[子弹威力]]*1.5+30+表2_5[[#This Row],[子弹威力]]*2*表2_5[[#This Row],[限制等级]]/256+表2_5[[#This Row],[伤害加成]]+表2_5[[#This Row],[剧毒]]/表2_5[[#This Row],[霰弹值]])</f>
        <v>2101.6264030612247</v>
      </c>
      <c r="AK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L8">
        <f>IF(表2_5[[#This Row],[限制等级]]&gt;=30,120,30)</f>
        <v>120</v>
      </c>
      <c r="AM8">
        <f>0.9+(1.1-0.9)*表2_5[[#This Row],[冲击力]]/(表2_5[[#This Row],[冲击力]]+50)</f>
        <v>0.93333333333333335</v>
      </c>
      <c r="AN8">
        <f>IF(表2_5[[#This Row],[周期伤害]] &lt;=表2_5[[#This Row],[加权周期伤害]]* 5,0.7+0.6/(1+EXP(-(表2_5[[#This Row],[加权周期伤害]]-表2_5[[#This Row],[周期伤害]])/(表2_5[[#This Row],[加权周期伤害]]))),0.1+1.5/(1+EXP(-(表2_5[[#This Row],[加权周期伤害]]-表2_5[[#This Row],[周期伤害]])/(表2_5[[#This Row],[加权周期伤害]]*10))))</f>
        <v>1.0747551830293407</v>
      </c>
      <c r="AO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11675.702239229026</v>
      </c>
      <c r="AP8">
        <f>1000*表2_5[[#This Row],[周期伤害]]/MAX(表2_5[[#This Row],[射击间隔]]*(表2_5[[#This Row],[弹容量]]-1),100/表2_5[[#This Row],[双枪系数]])</f>
        <v>23351.404478458055</v>
      </c>
      <c r="AQ8">
        <f>IF(表2_5[[#This Row],[周期dps]]&lt;=表2_5[[#This Row],[平衡dps]] * 2,0.85+0.3365/(1+EXP(-(表2_5[[#This Row],[平衡dps]]-表2_5[[#This Row],[周期dps]])/(表2_5[[#This Row],[平衡dps]]))),0.75+0.7/(1+EXP(-(表2_5[[#This Row],[平衡dps]]-表2_5[[#This Row],[周期dps]])/(表2_5[[#This Row],[平衡dps]]))))</f>
        <v>0.94344180679552681</v>
      </c>
    </row>
    <row r="9" spans="1:43" x14ac:dyDescent="0.3">
      <c r="A9" s="6" t="s">
        <v>154</v>
      </c>
      <c r="B9" s="3"/>
    </row>
    <row r="10" spans="1:43" x14ac:dyDescent="0.3">
      <c r="A10" s="7" t="s">
        <v>151</v>
      </c>
      <c r="B10" s="30" t="s">
        <v>16</v>
      </c>
      <c r="C10" s="27" t="s">
        <v>17</v>
      </c>
      <c r="D10" s="31">
        <v>13</v>
      </c>
      <c r="E10" s="31">
        <v>70</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2228.5791108986614</v>
      </c>
      <c r="S10">
        <f>表2_5[[#This Row],[平衡dps]]*表2_5[[#This Row],[周期dps系数]]*表2_5[[#This Row],[吃拐系数]]*1.1^表2_5[[#This Row],[额外加权层数]]</f>
        <v>2225.6978612163011</v>
      </c>
      <c r="T10" s="27"/>
      <c r="U10" s="27"/>
      <c r="V10">
        <f>表2_5[[#This Row],[平衡裸伤dps]]+表2_5[[#This Row],[平衡增益dps]]</f>
        <v>2276.6301183183987</v>
      </c>
      <c r="W10">
        <f>(表2_5[[#This Row],[子弹威力]]+20+表2_5[[#This Row],[子弹威力]]*2*表2_5[[#This Row],[限制等级]]/256+表2_5[[#This Row],[伤害加成]]+表2_5[[#This Row],[剧毒]]/(表2_5[[#This Row],[霰弹值]]*3^(表2_5[[#This Row],[穿刺系数]]-1)))*表2_5[[#This Row],[穿刺系数]]*表2_5[[#This Row],[弹容量]]*(1+(表2_5[[#This Row],[霰弹值]]-1)*0.5)</f>
        <v>11655.46875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860.42065009560224</v>
      </c>
      <c r="AA10">
        <f>( 表2_5[[#This Row],[限制等级]]*120*表2_5[[#This Row],[冲击力系数]]*表2_5[[#This Row],[周期伤害系数]]/1.6^(表2_5[[#This Row],[伤害类型系数]]-1)+表2_5[[#This Row],[重量]]*66/表2_5[[#This Row],[伤害类型系数]] )/1.5^(表2_5[[#This Row],[双枪系数]]-1)</f>
        <v>1207.4638084421704</v>
      </c>
      <c r="AB10">
        <f xml:space="preserve"> (1000*(表2_5[[#This Row],[弹夹价格]]*6/表2_5[[#This Row],[伤害类型系数]])/(表2_5[[#This Row],[射击间隔]]*(表2_5[[#This Row],[弹容量]]-1)+900*表2_5[[#This Row],[双枪系数]]))/1.5^(表2_5[[#This Row],[双枪系数]]-1)</f>
        <v>114.72275334608031</v>
      </c>
      <c r="AC10">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1322.1865617882506</v>
      </c>
      <c r="AD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1368.1584608030594</v>
      </c>
      <c r="AE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954.44355653014827</v>
      </c>
      <c r="AF10">
        <f>1000*表2_5[[#This Row],[弹容量]]/(表2_5[[#This Row],[射击间隔]]*(表2_5[[#This Row],[弹容量]]-1)+900*表2_5[[#This Row],[双枪系数]])</f>
        <v>9.5602294455066925</v>
      </c>
      <c r="AG10">
        <f>1000*(表2_5[[#This Row],[穿刺系数]]*表2_5[[#This Row],[弹容量]]*(1+(表2_5[[#This Row],[霰弹值]]-1)*0.5)/(表2_5[[#This Row],[射击间隔]]*(表2_5[[#This Row],[弹容量]]-1)+900*表2_5[[#This Row],[双枪系数]]))</f>
        <v>9.5602294455066925</v>
      </c>
      <c r="AH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2108.3018369545916</v>
      </c>
      <c r="AJ10" s="27">
        <f>(表2_5[[#This Row],[子弹威力]]+20+表2_5[[#This Row],[子弹威力]]*2*表2_5[[#This Row],[限制等级]]/256+表2_5[[#This Row],[伤害加成]]+表2_5[[#This Row],[剧毒]]/表2_5[[#This Row],[霰弹值]])</f>
        <v>233.109375</v>
      </c>
      <c r="AK10">
        <f>IF(表2_5[[#This Row],[限制等级]]&gt;=35,17*表2_5[[#This Row],[限制等级]]-330,7*表2_5[[#This Row],[限制等级]]+15) * IF(表2_5[[#This Row],[限制等级]]&gt;=25, 1 + (MIN(13,(表2_5[[#This Row],[限制等级]]-18)/3.5) - 1) * (MIN(13,(表2_5[[#This Row],[限制等级]]-18)/3.5)  - 1) / 100 + 0.05 * (MIN(13,(表2_5[[#This Row],[限制等级]]-18)/3.5)  - 1),1)</f>
        <v>106</v>
      </c>
      <c r="AL10" s="32">
        <f>IF(表2_5[[#This Row],[限制等级]]&gt;=30,120,30)</f>
        <v>30</v>
      </c>
      <c r="AM10">
        <f>0.9+(1.1-0.9)*表2_5[[#This Row],[冲击力]]/(表2_5[[#This Row],[冲击力]]+50)</f>
        <v>1</v>
      </c>
      <c r="AN10">
        <f>IF(表2_5[[#This Row],[周期伤害]] &lt;=表2_5[[#This Row],[加权周期伤害]]* 5,0.7+0.6/(1+EXP(-(表2_5[[#This Row],[加权周期伤害]]-表2_5[[#This Row],[周期伤害]])/(表2_5[[#This Row],[加权周期伤害]]))),0.1+1.5/(1+EXP(-(表2_5[[#This Row],[加权周期伤害]]-表2_5[[#This Row],[周期伤害]])/(表2_5[[#This Row],[加权周期伤害]]*10))))</f>
        <v>0.99602289273285605</v>
      </c>
      <c r="AO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2228.5791108986614</v>
      </c>
      <c r="AP10">
        <f>1000*表2_5[[#This Row],[周期伤害]]/MAX(表2_5[[#This Row],[射击间隔]]*(表2_5[[#This Row],[弹容量]]-1),100/表2_5[[#This Row],[双枪系数]])</f>
        <v>3398.0958454810498</v>
      </c>
      <c r="AQ10">
        <f>IF(表2_5[[#This Row],[周期dps]]&lt;=表2_5[[#This Row],[平衡dps]] * 2,0.85+0.3365/(1+EXP(-(表2_5[[#This Row],[平衡dps]]-表2_5[[#This Row],[周期dps]])/(表2_5[[#This Row],[平衡dps]]))),0.75+0.7/(1+EXP(-(表2_5[[#This Row],[平衡dps]]-表2_5[[#This Row],[周期dps]])/(表2_5[[#This Row],[平衡dps]]))))</f>
        <v>0.97762822485203782</v>
      </c>
    </row>
    <row r="11" spans="1:43" x14ac:dyDescent="0.3">
      <c r="A11" s="7" t="s">
        <v>152</v>
      </c>
      <c r="B11" s="30" t="s">
        <v>21</v>
      </c>
      <c r="C11" s="27" t="s">
        <v>26</v>
      </c>
      <c r="D11" s="27">
        <v>22</v>
      </c>
      <c r="E11" s="27">
        <v>750</v>
      </c>
      <c r="F11" s="27">
        <v>320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3804.375</v>
      </c>
      <c r="S11">
        <f>表2_5[[#This Row],[平衡dps]]*表2_5[[#This Row],[周期dps系数]]*表2_5[[#This Row],[吃拐系数]]*1.1^表2_5[[#This Row],[额外加权层数]]</f>
        <v>3802.8763919297667</v>
      </c>
      <c r="T11" s="27"/>
      <c r="U11" s="27"/>
      <c r="V11">
        <f>表2_5[[#This Row],[平衡裸伤dps]]+表2_5[[#This Row],[平衡增益dps]]</f>
        <v>3763.5454610303132</v>
      </c>
      <c r="W11">
        <f>(表2_5[[#This Row],[子弹威力]]+20+表2_5[[#This Row],[子弹威力]]*2*表2_5[[#This Row],[限制等级]]/256+表2_5[[#This Row],[伤害加成]]+表2_5[[#This Row],[剧毒]]/(表2_5[[#This Row],[霰弹值]]*3^(表2_5[[#This Row],[穿刺系数]]-1)))*表2_5[[#This Row],[穿刺系数]]*表2_5[[#This Row],[弹容量]]*(1+(表2_5[[#This Row],[霰弹值]]-1)*0.5)</f>
        <v>12934.875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2717.6470588235293</v>
      </c>
      <c r="AA11">
        <f>( 表2_5[[#This Row],[限制等级]]*120*表2_5[[#This Row],[冲击力系数]]*表2_5[[#This Row],[周期伤害系数]]/1.6^(表2_5[[#This Row],[伤害类型系数]]-1)+表2_5[[#This Row],[重量]]*66/表2_5[[#This Row],[伤害类型系数]] )/1.5^(表2_5[[#This Row],[双枪系数]]-1)</f>
        <v>1781.9018674990593</v>
      </c>
      <c r="AB11">
        <f xml:space="preserve"> (1000*(表2_5[[#This Row],[弹夹价格]]*6/表2_5[[#This Row],[伤害类型系数]])/(表2_5[[#This Row],[射击间隔]]*(表2_5[[#This Row],[弹容量]]-1)+900*表2_5[[#This Row],[双枪系数]]))/1.5^(表2_5[[#This Row],[双枪系数]]-1)</f>
        <v>352.94117647058823</v>
      </c>
      <c r="AC11">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2134.8430439696476</v>
      </c>
      <c r="AD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1086.7279411764705</v>
      </c>
      <c r="AE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1628.7024170606655</v>
      </c>
      <c r="AF11">
        <f>1000*表2_5[[#This Row],[弹容量]]/(表2_5[[#This Row],[射击间隔]]*(表2_5[[#This Row],[弹容量]]-1)+900*表2_5[[#This Row],[双枪系数]])</f>
        <v>1.7647058823529411</v>
      </c>
      <c r="AG11">
        <f>1000*(表2_5[[#This Row],[穿刺系数]]*表2_5[[#This Row],[弹容量]]*(1+(表2_5[[#This Row],[霰弹值]]-1)*0.5)/(表2_5[[#This Row],[射击间隔]]*(表2_5[[#This Row],[弹容量]]-1)+900*表2_5[[#This Row],[双枪系数]]))</f>
        <v>3.5294117647058827</v>
      </c>
      <c r="AH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3232.1885901409573</v>
      </c>
      <c r="AJ11" s="27">
        <f>(表2_5[[#This Row],[子弹威力]]+20+表2_5[[#This Row],[子弹威力]]*2*表2_5[[#This Row],[限制等级]]/256+表2_5[[#This Row],[伤害加成]]+表2_5[[#This Row],[剧毒]]/表2_5[[#This Row],[霰弹值]])</f>
        <v>1097.90625</v>
      </c>
      <c r="AK11">
        <f>IF(表2_5[[#This Row],[限制等级]]&gt;=35,17*表2_5[[#This Row],[限制等级]]-330,7*表2_5[[#This Row],[限制等级]]+15) * IF(表2_5[[#This Row],[限制等级]]&gt;=25, 1 + (MIN(13,(表2_5[[#This Row],[限制等级]]-18)/3.5) - 1) * (MIN(13,(表2_5[[#This Row],[限制等级]]-18)/3.5)  - 1) / 100 + 0.05 * (MIN(13,(表2_5[[#This Row],[限制等级]]-18)/3.5)  - 1),1)</f>
        <v>169</v>
      </c>
      <c r="AL11" s="32">
        <f>IF(表2_5[[#This Row],[限制等级]]&gt;=30,120,30)</f>
        <v>30</v>
      </c>
      <c r="AM11">
        <f>0.9+(1.1-0.9)*表2_5[[#This Row],[冲击力]]/(表2_5[[#This Row],[冲击力]]+50)</f>
        <v>0.93333333333333335</v>
      </c>
      <c r="AN11">
        <f>IF(表2_5[[#This Row],[周期伤害]] &lt;=表2_5[[#This Row],[加权周期伤害]]* 5,0.7+0.6/(1+EXP(-(表2_5[[#This Row],[加权周期伤害]]-表2_5[[#This Row],[周期伤害]])/(表2_5[[#This Row],[加权周期伤害]]))),0.1+1.5/(1+EXP(-(表2_5[[#This Row],[加权周期伤害]]-表2_5[[#This Row],[周期伤害]])/(表2_5[[#This Row],[加权周期伤害]]*10))))</f>
        <v>1.0579759745327066</v>
      </c>
      <c r="AO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3804.375</v>
      </c>
      <c r="AP11">
        <f>1000*表2_5[[#This Row],[周期伤害]]/MAX(表2_5[[#This Row],[射击间隔]]*(表2_5[[#This Row],[弹容量]]-1),100/表2_5[[#This Row],[双枪系数]])</f>
        <v>8084.296875</v>
      </c>
      <c r="AQ11">
        <f>IF(表2_5[[#This Row],[周期dps]]&lt;=表2_5[[#This Row],[平衡dps]] * 2,0.85+0.3365/(1+EXP(-(表2_5[[#This Row],[平衡dps]]-表2_5[[#This Row],[周期dps]])/(表2_5[[#This Row],[平衡dps]]))),0.75+0.7/(1+EXP(-(表2_5[[#This Row],[平衡dps]]-表2_5[[#This Row],[周期dps]])/(表2_5[[#This Row],[平衡dps]]))))</f>
        <v>0.91859136340905279</v>
      </c>
    </row>
    <row r="12" spans="1:43" x14ac:dyDescent="0.3">
      <c r="A12" s="7" t="s">
        <v>153</v>
      </c>
      <c r="B12" s="30" t="s">
        <v>272</v>
      </c>
      <c r="C12" s="27" t="s">
        <v>46</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2007.3625073720866</v>
      </c>
      <c r="T12" s="27"/>
      <c r="U12" s="27"/>
      <c r="V12">
        <f>表2_5[[#This Row],[平衡裸伤dps]]+表2_5[[#This Row],[平衡增益dps]]</f>
        <v>2084.4948563655889</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Row],[限制等级]]*120*表2_5[[#This Row],[冲击力系数]]*表2_5[[#This Row],[周期伤害系数]]/1.6^(表2_5[[#This Row],[伤害类型系数]]-1)+表2_5[[#This Row],[重量]]*66/表2_5[[#This Row],[伤害类型系数]] )/1.5^(表2_5[[#This Row],[双枪系数]]-1)</f>
        <v>1162.3469516135772</v>
      </c>
      <c r="AB12">
        <f xml:space="preserve"> (1000*(表2_5[[#This Row],[弹夹价格]]*6/表2_5[[#This Row],[伤害类型系数]])/(表2_5[[#This Row],[射击间隔]]*(表2_5[[#This Row],[弹容量]]-1)+900*表2_5[[#This Row],[双枪系数]]))/1.5^(表2_5[[#This Row],[双枪系数]]-1)</f>
        <v>145.98540145985402</v>
      </c>
      <c r="AC12">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1308.3323530734312</v>
      </c>
      <c r="AD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E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776.16250329215745</v>
      </c>
      <c r="AF12">
        <f>1000*表2_5[[#This Row],[弹容量]]/(表2_5[[#This Row],[射击间隔]]*(表2_5[[#This Row],[弹容量]]-1)+900*表2_5[[#This Row],[双枪系数]])</f>
        <v>1.9464720194647203</v>
      </c>
      <c r="AG12">
        <f>1000*(表2_5[[#This Row],[穿刺系数]]*表2_5[[#This Row],[弹容量]]*(1+(表2_5[[#This Row],[霰弹值]]-1)*0.5)/(表2_5[[#This Row],[射击间隔]]*(表2_5[[#This Row],[弹容量]]-1)+900*表2_5[[#This Row],[双枪系数]]))</f>
        <v>10.70559610705596</v>
      </c>
      <c r="AH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J12" s="27">
        <f>(表2_5[[#This Row],[子弹威力]]+20+表2_5[[#This Row],[子弹威力]]*2*表2_5[[#This Row],[限制等级]]/256+表2_5[[#This Row],[伤害加成]]+表2_5[[#This Row],[剧毒]]/表2_5[[#This Row],[霰弹值]])</f>
        <v>184.078125</v>
      </c>
      <c r="AK12">
        <f>IF(表2_5[[#This Row],[限制等级]]&gt;=35,17*表2_5[[#This Row],[限制等级]]-330,7*表2_5[[#This Row],[限制等级]]+15) * IF(表2_5[[#This Row],[限制等级]]&gt;=25, 1 + (MIN(13,(表2_5[[#This Row],[限制等级]]-18)/3.5) - 1) * (MIN(13,(表2_5[[#This Row],[限制等级]]-18)/3.5)  - 1) / 100 + 0.05 * (MIN(13,(表2_5[[#This Row],[限制等级]]-18)/3.5)  - 1),1)</f>
        <v>106</v>
      </c>
      <c r="AL12" s="32">
        <f>IF(表2_5[[#This Row],[限制等级]]&gt;=30,120,30)</f>
        <v>30</v>
      </c>
      <c r="AM12">
        <f>0.9+(1.1-0.9)*表2_5[[#This Row],[冲击力]]/(表2_5[[#This Row],[冲击力]]+50)</f>
        <v>0.95714285714285718</v>
      </c>
      <c r="AN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O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P12">
        <f>1000*表2_5[[#This Row],[周期伤害]]/MAX(表2_5[[#This Row],[射击间隔]]*(表2_5[[#This Row],[弹容量]]-1),100/表2_5[[#This Row],[双枪系数]])</f>
        <v>3506.25</v>
      </c>
      <c r="AQ12">
        <f>IF(表2_5[[#This Row],[周期dps]]&lt;=表2_5[[#This Row],[平衡dps]] * 2,0.85+0.3365/(1+EXP(-(表2_5[[#This Row],[平衡dps]]-表2_5[[#This Row],[周期dps]])/(表2_5[[#This Row],[平衡dps]]))),0.75+0.7/(1+EXP(-(表2_5[[#This Row],[平衡dps]]-表2_5[[#This Row],[周期dps]])/(表2_5[[#This Row],[平衡dps]]))))</f>
        <v>0.96299710274747996</v>
      </c>
    </row>
    <row r="13" spans="1:43" x14ac:dyDescent="0.3">
      <c r="A13" s="15" t="s">
        <v>145</v>
      </c>
      <c r="B13" s="1" t="s">
        <v>25</v>
      </c>
      <c r="C13" t="s">
        <v>275</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5910.2106841534269</v>
      </c>
      <c r="V13">
        <f>表2_5[[#This Row],[平衡裸伤dps]]+表2_5[[#This Row],[平衡增益dps]]</f>
        <v>6041.6902686835838</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Row],[限制等级]]*120*表2_5[[#This Row],[冲击力系数]]*表2_5[[#This Row],[周期伤害系数]]/1.6^(表2_5[[#This Row],[伤害类型系数]]-1)+表2_5[[#This Row],[重量]]*66/表2_5[[#This Row],[伤害类型系数]] )/1.5^(表2_5[[#This Row],[双枪系数]]-1)</f>
        <v>2374.3133959568554</v>
      </c>
      <c r="AB13">
        <f xml:space="preserve"> (1000*(表2_5[[#This Row],[弹夹价格]]*6/表2_5[[#This Row],[伤害类型系数]])/(表2_5[[#This Row],[射击间隔]]*(表2_5[[#This Row],[弹容量]]-1)+900*表2_5[[#This Row],[双枪系数]]))/1.5^(表2_5[[#This Row],[双枪系数]]-1)</f>
        <v>114.72275334608031</v>
      </c>
      <c r="AC13">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2489.0361493029359</v>
      </c>
      <c r="AD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E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3552.6541193806479</v>
      </c>
      <c r="AF13">
        <f>1000*表2_5[[#This Row],[弹容量]]/(表2_5[[#This Row],[射击间隔]]*(表2_5[[#This Row],[弹容量]]-1)+900*表2_5[[#This Row],[双枪系数]])</f>
        <v>9.5602294455066925</v>
      </c>
      <c r="AG13">
        <f>1000*(表2_5[[#This Row],[穿刺系数]]*表2_5[[#This Row],[弹容量]]*(1+(表2_5[[#This Row],[霰弹值]]-1)*0.5)/(表2_5[[#This Row],[射击间隔]]*(表2_5[[#This Row],[弹容量]]-1)+900*表2_5[[#This Row],[双枪系数]]))</f>
        <v>9.5602294455066925</v>
      </c>
      <c r="AH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J13" s="27">
        <f>(表2_5[[#This Row],[子弹威力]]+20+表2_5[[#This Row],[子弹威力]]*2*表2_5[[#This Row],[限制等级]]/256+表2_5[[#This Row],[伤害加成]]+表2_5[[#This Row],[剧毒]]/表2_5[[#This Row],[霰弹值]])</f>
        <v>615.43558673469386</v>
      </c>
      <c r="AK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L13">
        <f>IF(表2_5[[#This Row],[限制等级]]&gt;=30,120,30)</f>
        <v>120</v>
      </c>
      <c r="AM13">
        <f>0.9+(1.1-0.9)*表2_5[[#This Row],[冲击力]]/(表2_5[[#This Row],[冲击力]]+50)</f>
        <v>0.98636363636363644</v>
      </c>
      <c r="AN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O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P13">
        <f>1000*表2_5[[#This Row],[周期伤害]]/MAX(表2_5[[#This Row],[射击间隔]]*(表2_5[[#This Row],[弹容量]]-1),100/表2_5[[#This Row],[双枪系数]])</f>
        <v>8971.3642381150712</v>
      </c>
      <c r="AQ13">
        <f>IF(表2_5[[#This Row],[周期dps]]&lt;=表2_5[[#This Row],[平衡dps]] * 2,0.85+0.3365/(1+EXP(-(表2_5[[#This Row],[平衡dps]]-表2_5[[#This Row],[周期dps]])/(表2_5[[#This Row],[平衡dps]]))),0.75+0.7/(1+EXP(-(表2_5[[#This Row],[平衡dps]]-表2_5[[#This Row],[周期dps]])/(表2_5[[#This Row],[平衡dps]]))))</f>
        <v>0.97823794688521748</v>
      </c>
    </row>
    <row r="14" spans="1:43" x14ac:dyDescent="0.3">
      <c r="A14" s="15" t="s">
        <v>155</v>
      </c>
      <c r="B14" s="3"/>
      <c r="C14" t="s">
        <v>277</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5830.968602560748</v>
      </c>
      <c r="V14">
        <f>表2_5[[#This Row],[平衡裸伤dps]]+表2_5[[#This Row],[平衡增益dps]]</f>
        <v>5834.2456624139559</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Row],[限制等级]]*120*表2_5[[#This Row],[冲击力系数]]*表2_5[[#This Row],[周期伤害系数]]/1.6^(表2_5[[#This Row],[伤害类型系数]]-1)+表2_5[[#This Row],[重量]]*66/表2_5[[#This Row],[伤害类型系数]] )/1.5^(表2_5[[#This Row],[双枪系数]]-1)</f>
        <v>2392.8419603256721</v>
      </c>
      <c r="AB14">
        <f xml:space="preserve"> (1000*(表2_5[[#This Row],[弹夹价格]]*6/表2_5[[#This Row],[伤害类型系数]])/(表2_5[[#This Row],[射击间隔]]*(表2_5[[#This Row],[弹容量]]-1)+900*表2_5[[#This Row],[双枪系数]]))/1.5^(表2_5[[#This Row],[双枪系数]]-1)</f>
        <v>174.86338797814207</v>
      </c>
      <c r="AC14">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2567.7053483038139</v>
      </c>
      <c r="AD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E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3266.5403141101415</v>
      </c>
      <c r="AF14">
        <f>1000*表2_5[[#This Row],[弹容量]]/(表2_5[[#This Row],[射击间隔]]*(表2_5[[#This Row],[弹容量]]-1)+900*表2_5[[#This Row],[双枪系数]])</f>
        <v>5.4644808743169397</v>
      </c>
      <c r="AG14">
        <f>1000*(表2_5[[#This Row],[穿刺系数]]*表2_5[[#This Row],[弹容量]]*(1+(表2_5[[#This Row],[霰弹值]]-1)*0.5)/(表2_5[[#This Row],[射击间隔]]*(表2_5[[#This Row],[弹容量]]-1)+900*表2_5[[#This Row],[双枪系数]]))</f>
        <v>10.928961748633879</v>
      </c>
      <c r="AH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J14" s="27">
        <f>(表2_5[[#This Row],[子弹威力]]+20+表2_5[[#This Row],[子弹威力]]*2*表2_5[[#This Row],[限制等级]]/256+表2_5[[#This Row],[伤害加成]]+表2_5[[#This Row],[剧毒]]/表2_5[[#This Row],[霰弹值]])</f>
        <v>605.11000000000013</v>
      </c>
      <c r="AK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L14">
        <f>IF(表2_5[[#This Row],[限制等级]]&gt;=30,120,30)</f>
        <v>120</v>
      </c>
      <c r="AM14">
        <f>0.9+(1.1-0.9)*表2_5[[#This Row],[冲击力]]/(表2_5[[#This Row],[冲击力]]+50)</f>
        <v>1</v>
      </c>
      <c r="AN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O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P14">
        <f>1000*表2_5[[#This Row],[周期伤害]]/MAX(表2_5[[#This Row],[射击间隔]]*(表2_5[[#This Row],[弹容量]]-1),100/表2_5[[#This Row],[双枪系数]])</f>
        <v>7144.3537414966004</v>
      </c>
      <c r="AQ14">
        <f>IF(表2_5[[#This Row],[周期dps]]&lt;=表2_5[[#This Row],[平衡dps]] * 2,0.85+0.3365/(1+EXP(-(表2_5[[#This Row],[平衡dps]]-表2_5[[#This Row],[周期dps]])/(表2_5[[#This Row],[平衡dps]]))),0.75+0.7/(1+EXP(-(表2_5[[#This Row],[平衡dps]]-表2_5[[#This Row],[周期dps]])/(表2_5[[#This Row],[平衡dps]]))))</f>
        <v>0.99943830615938578</v>
      </c>
    </row>
    <row r="15" spans="1:43" x14ac:dyDescent="0.3">
      <c r="A15" s="15" t="s">
        <v>297</v>
      </c>
      <c r="B15" s="3"/>
      <c r="C15" t="s">
        <v>278</v>
      </c>
      <c r="D15" s="12">
        <v>15</v>
      </c>
      <c r="E15" s="12">
        <v>900</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2518.8616071428573</v>
      </c>
      <c r="S15" s="17">
        <f>表2_5[[#This Row],[平衡dps]]*表2_5[[#This Row],[周期dps系数]]*表2_5[[#This Row],[吃拐系数]]*1.1^表2_5[[#This Row],[额外加权层数]]</f>
        <v>2525.8674031406331</v>
      </c>
      <c r="V15">
        <f>表2_5[[#This Row],[平衡裸伤dps]]+表2_5[[#This Row],[平衡增益dps]]</f>
        <v>2864.7134057614348</v>
      </c>
      <c r="W15">
        <f>(表2_5[[#This Row],[子弹威力]]+20+表2_5[[#This Row],[子弹威力]]*2*表2_5[[#This Row],[限制等级]]/256+表2_5[[#This Row],[伤害加成]]+表2_5[[#This Row],[剧毒]]/(表2_5[[#This Row],[霰弹值]]*3^(表2_5[[#This Row],[穿刺系数]]-1)))*表2_5[[#This Row],[穿刺系数]]*表2_5[[#This Row],[弹容量]]*(1+(表2_5[[#This Row],[霰弹值]]-1)*0.5)</f>
        <v>7052.8125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1971.4285714285713</v>
      </c>
      <c r="AA15">
        <f>( 表2_5[[#This Row],[限制等级]]*120*表2_5[[#This Row],[冲击力系数]]*表2_5[[#This Row],[周期伤害系数]]/1.6^(表2_5[[#This Row],[伤害类型系数]]-1)+表2_5[[#This Row],[重量]]*66/表2_5[[#This Row],[伤害类型系数]] )/1.5^(表2_5[[#This Row],[双枪系数]]-1)</f>
        <v>1274.9421789023793</v>
      </c>
      <c r="AB15">
        <f xml:space="preserve"> (1000*(表2_5[[#This Row],[弹夹价格]]*6/表2_5[[#This Row],[伤害类型系数]])/(表2_5[[#This Row],[射击间隔]]*(表2_5[[#This Row],[弹容量]]-1)+900*表2_5[[#This Row],[双枪系数]]))/1.5^(表2_5[[#This Row],[双枪系数]]-1)</f>
        <v>428.57142857142861</v>
      </c>
      <c r="AC15">
        <f>IF(表2_5[[#This Row],[经济加成dps]] &lt;= 表2_5[[#This Row],[平衡基础dps]] * 表2_5[[#This Row],[限制等级]] / 3,表2_5[[#This Row],[经济加成dps]],  表2_5[[#This Row],[平衡基础dps]] + 15 * 表2_5[[#This Row],[平衡基础dps]] * (1 - EXP(-(表2_5[[#This Row],[经济加成dps]] - 表2_5[[#This Row],[平衡基础dps]]) / (15* 表2_5[[#This Row],[平衡基础dps]]))) ) + 表2_5[[#This Row],[平衡基础dps]]</f>
        <v>1703.513607473808</v>
      </c>
      <c r="AD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547.43303571428567</v>
      </c>
      <c r="AE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1161.1997982876269</v>
      </c>
      <c r="AF15">
        <f>1000*表2_5[[#This Row],[弹容量]]/(表2_5[[#This Row],[射击间隔]]*(表2_5[[#This Row],[弹容量]]-1)+900*表2_5[[#This Row],[双枪系数]])</f>
        <v>2.1428571428571428</v>
      </c>
      <c r="AG15">
        <f>1000*(表2_5[[#This Row],[穿刺系数]]*表2_5[[#This Row],[弹容量]]*(1+(表2_5[[#This Row],[霰弹值]]-1)*0.5)/(表2_5[[#This Row],[射击间隔]]*(表2_5[[#This Row],[弹容量]]-1)+900*表2_5[[#This Row],[双枪系数]]))</f>
        <v>2.1428571428571428</v>
      </c>
      <c r="AH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I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2424.1138395025869</v>
      </c>
      <c r="AJ15" s="27">
        <f>(表2_5[[#This Row],[子弹威力]]+20+表2_5[[#This Row],[子弹威力]]*2*表2_5[[#This Row],[限制等级]]/256+表2_5[[#This Row],[伤害加成]]+表2_5[[#This Row],[剧毒]]/表2_5[[#This Row],[霰弹值]])</f>
        <v>1175.46875</v>
      </c>
      <c r="AK15">
        <f>IF(表2_5[[#This Row],[限制等级]]&gt;=35,17*表2_5[[#This Row],[限制等级]]-330,7*表2_5[[#This Row],[限制等级]]+15) * IF(表2_5[[#This Row],[限制等级]]&gt;=25, 1 + (MIN(13,(表2_5[[#This Row],[限制等级]]-18)/3.5) - 1) * (MIN(13,(表2_5[[#This Row],[限制等级]]-18)/3.5)  - 1) / 100 + 0.05 * (MIN(13,(表2_5[[#This Row],[限制等级]]-18)/3.5)  - 1),1)</f>
        <v>120</v>
      </c>
      <c r="AL15">
        <f>IF(表2_5[[#This Row],[限制等级]]&gt;=30,120,30)</f>
        <v>30</v>
      </c>
      <c r="AM15">
        <f>0.9+(1.1-0.9)*表2_5[[#This Row],[冲击力]]/(表2_5[[#This Row],[冲击力]]+50)</f>
        <v>0.93333333333333335</v>
      </c>
      <c r="AN15">
        <f>IF(表2_5[[#This Row],[周期伤害]] &lt;=表2_5[[#This Row],[加权周期伤害]]* 5,0.7+0.6/(1+EXP(-(表2_5[[#This Row],[加权周期伤害]]-表2_5[[#This Row],[周期伤害]])/(表2_5[[#This Row],[加权周期伤害]]))),0.1+1.5/(1+EXP(-(表2_5[[#This Row],[加权周期伤害]]-表2_5[[#This Row],[周期伤害]])/(表2_5[[#This Row],[加权周期伤害]]*10))))</f>
        <v>1.05976980259141</v>
      </c>
      <c r="AO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2518.8616071428573</v>
      </c>
      <c r="AP15">
        <f>1000*表2_5[[#This Row],[周期伤害]]/MAX(表2_5[[#This Row],[射击间隔]]*(表2_5[[#This Row],[弹容量]]-1),100/表2_5[[#This Row],[双枪系数]])</f>
        <v>7052.8125</v>
      </c>
      <c r="AQ15">
        <f>IF(表2_5[[#This Row],[周期dps]]&lt;=表2_5[[#This Row],[平衡dps]] * 2,0.85+0.3365/(1+EXP(-(表2_5[[#This Row],[平衡dps]]-表2_5[[#This Row],[周期dps]])/(表2_5[[#This Row],[平衡dps]]))),0.75+0.7/(1+EXP(-(表2_5[[#This Row],[平衡dps]]-表2_5[[#This Row],[周期dps]])/(表2_5[[#This Row],[平衡dps]]))))</f>
        <v>0.88171731177739332</v>
      </c>
    </row>
    <row r="16" spans="1:43" x14ac:dyDescent="0.3">
      <c r="B16" s="3"/>
      <c r="D16" s="3"/>
      <c r="E16" s="3"/>
      <c r="F16" s="2" t="s">
        <v>529</v>
      </c>
      <c r="G16" s="3"/>
      <c r="H16" s="3"/>
      <c r="I16" s="3"/>
      <c r="L16" s="2"/>
      <c r="M16" s="2" t="s">
        <v>508</v>
      </c>
    </row>
    <row r="17" spans="2:43" x14ac:dyDescent="0.3">
      <c r="B17" s="3"/>
      <c r="C17" s="2" t="s">
        <v>231</v>
      </c>
      <c r="D17" s="3"/>
      <c r="E17" s="3"/>
      <c r="F17" s="4" t="str">
        <f>IF(OR(AH6&lt;0.7,AH7&lt;0.7,AH8&lt;0.7,AH13&lt;0.7,AH14&lt;0.7,AH15&lt;0.7),"异常提示：你的武器相对于当前限制等级的吃拐率过高，会导致dps惩罚过重，请降低射速、段数或穿刺能力！","")</f>
        <v/>
      </c>
      <c r="G17" s="3"/>
      <c r="H17" s="3"/>
      <c r="I17" s="3"/>
    </row>
    <row r="18" spans="2:43" x14ac:dyDescent="0.3">
      <c r="B18" s="3"/>
      <c r="C18" s="2" t="s">
        <v>267</v>
      </c>
      <c r="D18" s="2" t="s">
        <v>271</v>
      </c>
    </row>
    <row r="19" spans="2:43" x14ac:dyDescent="0.3">
      <c r="B19" s="3"/>
      <c r="C19" s="2" t="s">
        <v>268</v>
      </c>
      <c r="D19" s="2" t="s">
        <v>543</v>
      </c>
    </row>
    <row r="20" spans="2:43" x14ac:dyDescent="0.3">
      <c r="B20" s="3"/>
      <c r="C20" s="2" t="s">
        <v>269</v>
      </c>
      <c r="D20" s="2" t="s">
        <v>292</v>
      </c>
      <c r="O20" s="29" t="s">
        <v>279</v>
      </c>
    </row>
    <row r="21" spans="2:43" x14ac:dyDescent="0.3">
      <c r="B21" s="3"/>
      <c r="C21" s="2" t="s">
        <v>270</v>
      </c>
      <c r="D21" s="2" t="s">
        <v>360</v>
      </c>
    </row>
    <row r="22" spans="2:43" x14ac:dyDescent="0.3">
      <c r="B22" s="3"/>
    </row>
    <row r="23" spans="2:43" x14ac:dyDescent="0.3">
      <c r="B23" s="4" t="s">
        <v>39</v>
      </c>
      <c r="C23" s="2" t="s">
        <v>296</v>
      </c>
    </row>
    <row r="24" spans="2:43" x14ac:dyDescent="0.3">
      <c r="B24" s="3"/>
      <c r="C24" t="s">
        <v>303</v>
      </c>
      <c r="Q24" s="51" t="s">
        <v>513</v>
      </c>
      <c r="AN24" s="2" t="s">
        <v>260</v>
      </c>
    </row>
    <row r="25" spans="2:43" x14ac:dyDescent="0.3">
      <c r="B25" s="3"/>
      <c r="Q25" s="38" t="s">
        <v>511</v>
      </c>
      <c r="R25" s="38" t="s">
        <v>509</v>
      </c>
      <c r="S25" s="39" t="s">
        <v>510</v>
      </c>
      <c r="AN25" t="s">
        <v>89</v>
      </c>
      <c r="AO25" t="s">
        <v>164</v>
      </c>
      <c r="AP25" t="s">
        <v>367</v>
      </c>
      <c r="AQ25" t="s">
        <v>263</v>
      </c>
    </row>
    <row r="26" spans="2:43" x14ac:dyDescent="0.3">
      <c r="B26" s="4" t="s">
        <v>40</v>
      </c>
      <c r="C26" t="s">
        <v>293</v>
      </c>
      <c r="Q26" s="37">
        <v>3</v>
      </c>
      <c r="R26" s="37">
        <v>1</v>
      </c>
      <c r="S26" s="52">
        <f>Q26*1.1+Q26*0.5/R26-0.8</f>
        <v>4.0000000000000009</v>
      </c>
      <c r="AM26" s="2" t="s">
        <v>261</v>
      </c>
      <c r="AN26" s="28">
        <v>10</v>
      </c>
      <c r="AO26" s="28">
        <v>85</v>
      </c>
      <c r="AP26" s="28">
        <f>表5[[#This Row],[伤害加成]]*IF(AN26&gt;=25, 1 + (MIN(13,(AN26-18)/3.5) - 1) * (MIN(13,(AN26-18)/3.5)  - 1) / 100 + 0.05 * (MIN(13,(AN26-18)/3.5)  - 1),1)-表5[[#This Row],[伤害加成]]</f>
        <v>0</v>
      </c>
      <c r="AQ26" s="28">
        <v>30</v>
      </c>
    </row>
    <row r="27" spans="2:43" x14ac:dyDescent="0.3">
      <c r="C27" t="s">
        <v>294</v>
      </c>
      <c r="Q27" t="s">
        <v>512</v>
      </c>
      <c r="AN27" s="28">
        <v>20</v>
      </c>
      <c r="AO27" s="28">
        <v>160</v>
      </c>
      <c r="AP27" s="28">
        <f>表5[[#This Row],[伤害加成]]*IF(AN27&gt;=25, 1 + (MIN(13,(AN27-18)/3.5) - 1) * (MIN(13,(AN27-18)/3.5)  - 1) / 100 + 0.05 * (MIN(13,(AN27-18)/3.5)  - 1),1)-表5[[#This Row],[伤害加成]]</f>
        <v>0</v>
      </c>
      <c r="AQ27" s="28">
        <v>30</v>
      </c>
    </row>
    <row r="28" spans="2:43" x14ac:dyDescent="0.3">
      <c r="C28" t="s">
        <v>176</v>
      </c>
      <c r="Q28" t="s">
        <v>514</v>
      </c>
      <c r="AN28" s="28">
        <v>30</v>
      </c>
      <c r="AO28" s="28">
        <v>200</v>
      </c>
      <c r="AP28" s="28">
        <f>表5[[#This Row],[伤害加成]]*IF(AN28&gt;=25, 1 + (MIN(13,(AN28-18)/3.5) - 1) * (MIN(13,(AN28-18)/3.5)  - 1) / 100 + 0.05 * (MIN(13,(AN28-18)/3.5)  - 1),1)-表5[[#This Row],[伤害加成]]</f>
        <v>36.081632653061206</v>
      </c>
      <c r="AQ28" s="28">
        <v>120</v>
      </c>
    </row>
    <row r="29" spans="2:43" x14ac:dyDescent="0.3">
      <c r="C29" t="s">
        <v>47</v>
      </c>
      <c r="AN29" s="28">
        <v>40</v>
      </c>
      <c r="AO29" s="28">
        <v>350</v>
      </c>
      <c r="AP29" s="28">
        <f>表5[[#This Row],[伤害加成]]*IF(AN29&gt;=25, 1 + (MIN(13,(AN29-18)/3.5) - 1) * (MIN(13,(AN29-18)/3.5)  - 1) / 100 + 0.05 * (MIN(13,(AN29-18)/3.5)  - 1),1)-表5[[#This Row],[伤害加成]]</f>
        <v>190.28571428571422</v>
      </c>
      <c r="AQ29" s="28">
        <v>120</v>
      </c>
    </row>
    <row r="30" spans="2:43" x14ac:dyDescent="0.3">
      <c r="C30" t="s">
        <v>295</v>
      </c>
      <c r="AN30" s="28">
        <v>50</v>
      </c>
      <c r="AO30" s="28">
        <v>530</v>
      </c>
      <c r="AP30" s="28">
        <f>表5[[#This Row],[伤害加成]]*IF(AN30&gt;=25, 1 + (MIN(13,(AN30-18)/3.5) - 1) * (MIN(13,(AN30-18)/3.5)  - 1) / 100 + 0.05 * (MIN(13,(AN30-18)/3.5)  - 1),1)-表5[[#This Row],[伤害加成]]</f>
        <v>567.20816326530621</v>
      </c>
      <c r="AQ30" s="28">
        <v>120</v>
      </c>
    </row>
    <row r="31" spans="2:43" x14ac:dyDescent="0.3">
      <c r="C31" t="s">
        <v>515</v>
      </c>
      <c r="AM31" s="2" t="s">
        <v>262</v>
      </c>
      <c r="AN31" s="12">
        <v>35</v>
      </c>
      <c r="AO31" s="16">
        <f>IF(AN31&gt;=35,17*AN31-330,7*AN31+15)</f>
        <v>265</v>
      </c>
      <c r="AP31" s="16">
        <f>IF(AN31&gt;=35,17*AN31-330,7*AN31+15) * IF(AN31&gt;=25, 1 + (MIN(13,(AN31-18)/3.5) - 1) * (MIN(13,(AN31-18)/3.5)  - 1) / 100 + 0.05 * (MIN(13,(AN31-18)/3.5)  - 1),1)-AO31</f>
        <v>90.532653061224437</v>
      </c>
      <c r="AQ31" s="16">
        <f>IF(AN31&gt;=30,120,30)</f>
        <v>120</v>
      </c>
    </row>
    <row r="32" spans="2:43" x14ac:dyDescent="0.3">
      <c r="C32" t="s">
        <v>542</v>
      </c>
      <c r="AN32" s="2" t="s">
        <v>368</v>
      </c>
      <c r="AO32" s="16">
        <f>IF(AN31&gt;=35,17*AN31-330,7*AN31+15) * IF(AN31&gt;=25, 1 + (MIN(13,(AN31-18)/3.5) - 1) * (MIN(13,(AN31-18)/3.5)  - 1) / 100 + 0.05 * (MIN(13,(AN31-18)/3.5)  - 1),1)</f>
        <v>355.53265306122444</v>
      </c>
    </row>
    <row r="33" spans="3:3" x14ac:dyDescent="0.3">
      <c r="C33" s="2" t="s">
        <v>525</v>
      </c>
    </row>
  </sheetData>
  <phoneticPr fontId="1" type="noConversion"/>
  <pageMargins left="0.7" right="0.7" top="0.75" bottom="0.75" header="0.3" footer="0.3"/>
  <pageSetup paperSize="9" orientation="portrait" r:id="rId1"/>
  <ignoredErrors>
    <ignoredError sqref="W10:W15 W3:W8 AN3:AN15 X3:X15 Z3:Z15 AD3:AD15 AK3:AK15 AG3:AG15 V3:V15 AE3:AE15 AH3:AH15 AC3:AC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T32"/>
  <sheetViews>
    <sheetView zoomScaleNormal="100" workbookViewId="0">
      <selection activeCell="O3" sqref="O3"/>
    </sheetView>
  </sheetViews>
  <sheetFormatPr defaultRowHeight="14" x14ac:dyDescent="0.3"/>
  <cols>
    <col min="1" max="1" width="17.5" customWidth="1"/>
    <col min="2" max="2" width="10.08203125" customWidth="1"/>
    <col min="3" max="3" width="15" customWidth="1"/>
    <col min="4" max="4" width="8" customWidth="1"/>
    <col min="5" max="5" width="7.9140625" customWidth="1"/>
    <col min="6" max="6" width="6.75" customWidth="1"/>
    <col min="7" max="7" width="6.5" customWidth="1"/>
    <col min="8" max="8" width="8.1640625" customWidth="1"/>
    <col min="9" max="9" width="10.83203125" customWidth="1"/>
    <col min="10" max="10" width="7" customWidth="1"/>
    <col min="11" max="11" width="7.6640625" customWidth="1"/>
    <col min="12" max="12" width="11.58203125" customWidth="1"/>
    <col min="13" max="13" width="12.08203125" customWidth="1"/>
    <col min="19" max="20" width="12.25" customWidth="1"/>
  </cols>
  <sheetData>
    <row r="1" spans="1:20" x14ac:dyDescent="0.3">
      <c r="A1" t="s">
        <v>179</v>
      </c>
      <c r="D1" t="s">
        <v>45</v>
      </c>
      <c r="E1" t="s">
        <v>182</v>
      </c>
      <c r="H1" t="s">
        <v>183</v>
      </c>
      <c r="J1" t="s">
        <v>184</v>
      </c>
      <c r="K1" t="s">
        <v>185</v>
      </c>
      <c r="L1" t="s">
        <v>186</v>
      </c>
      <c r="M1" t="s">
        <v>161</v>
      </c>
      <c r="O1" t="s">
        <v>213</v>
      </c>
    </row>
    <row r="2" spans="1:20" x14ac:dyDescent="0.3">
      <c r="A2" t="s">
        <v>178</v>
      </c>
      <c r="B2" s="10" t="s">
        <v>48</v>
      </c>
      <c r="C2" s="10" t="s">
        <v>192</v>
      </c>
      <c r="D2" s="8" t="s">
        <v>14</v>
      </c>
      <c r="E2" s="8" t="s">
        <v>111</v>
      </c>
      <c r="F2" s="8" t="s">
        <v>162</v>
      </c>
      <c r="G2" s="8" t="s">
        <v>163</v>
      </c>
      <c r="H2" s="8" t="s">
        <v>164</v>
      </c>
      <c r="I2" s="8" t="s">
        <v>386</v>
      </c>
      <c r="J2" s="8" t="s">
        <v>165</v>
      </c>
      <c r="K2" s="8" t="s">
        <v>166</v>
      </c>
      <c r="L2" s="8" t="s">
        <v>167</v>
      </c>
      <c r="M2" s="8" t="s">
        <v>12</v>
      </c>
      <c r="N2" s="11" t="s">
        <v>148</v>
      </c>
      <c r="O2" s="14" t="s">
        <v>168</v>
      </c>
      <c r="P2" s="14" t="s">
        <v>169</v>
      </c>
      <c r="Q2" s="14" t="s">
        <v>170</v>
      </c>
      <c r="R2" s="11" t="s">
        <v>150</v>
      </c>
      <c r="S2" s="14" t="s">
        <v>387</v>
      </c>
      <c r="T2" s="14" t="s">
        <v>388</v>
      </c>
    </row>
    <row r="3" spans="1:20" x14ac:dyDescent="0.3">
      <c r="B3" s="2" t="s">
        <v>171</v>
      </c>
      <c r="C3" t="s">
        <v>174</v>
      </c>
      <c r="D3">
        <v>10</v>
      </c>
      <c r="E3">
        <v>70</v>
      </c>
      <c r="F3">
        <v>50</v>
      </c>
      <c r="G3">
        <v>20</v>
      </c>
      <c r="H3">
        <v>10</v>
      </c>
      <c r="I3">
        <v>0</v>
      </c>
      <c r="J3">
        <v>4</v>
      </c>
      <c r="K3">
        <v>0</v>
      </c>
      <c r="L3">
        <v>0</v>
      </c>
      <c r="M3">
        <v>0</v>
      </c>
      <c r="O3">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240</v>
      </c>
      <c r="P3">
        <f>表2_2[[#This Row],[限制等级]]*20+表2_2[[#This Row],[重量]]*10</f>
        <v>240</v>
      </c>
      <c r="Q3">
        <f t="shared" ref="Q3:Q9" si="0">P3*1.25^M3</f>
        <v>240</v>
      </c>
      <c r="S3">
        <f>10+表2_2[[#This Row],[限制等级]]*0.2</f>
        <v>12</v>
      </c>
      <c r="T3">
        <f>25+表2_2[[#This Row],[限制等级]]*0.2</f>
        <v>27</v>
      </c>
    </row>
    <row r="4" spans="1:20" x14ac:dyDescent="0.3">
      <c r="B4" s="3"/>
      <c r="C4" t="s">
        <v>173</v>
      </c>
      <c r="D4" s="3">
        <v>18</v>
      </c>
      <c r="E4" s="3">
        <v>135</v>
      </c>
      <c r="F4" s="3">
        <v>80</v>
      </c>
      <c r="G4" s="3">
        <v>30</v>
      </c>
      <c r="H4" s="3">
        <v>20</v>
      </c>
      <c r="I4" s="3">
        <v>0</v>
      </c>
      <c r="J4" s="3">
        <v>8</v>
      </c>
      <c r="K4" s="3">
        <v>0</v>
      </c>
      <c r="L4" s="3">
        <v>10</v>
      </c>
      <c r="M4" s="3">
        <v>0</v>
      </c>
      <c r="O4">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450</v>
      </c>
      <c r="P4">
        <f>表2_2[[#This Row],[限制等级]]*20+表2_2[[#This Row],[重量]]*10</f>
        <v>440</v>
      </c>
      <c r="Q4">
        <f t="shared" si="0"/>
        <v>440</v>
      </c>
      <c r="S4">
        <f>10+表2_2[[#This Row],[限制等级]]*0.2</f>
        <v>13.6</v>
      </c>
      <c r="T4">
        <f>25+表2_2[[#This Row],[限制等级]]*0.2</f>
        <v>28.6</v>
      </c>
    </row>
    <row r="5" spans="1:20" x14ac:dyDescent="0.3">
      <c r="B5" s="3"/>
      <c r="C5" t="s">
        <v>255</v>
      </c>
      <c r="D5" s="3">
        <v>21</v>
      </c>
      <c r="E5" s="3">
        <v>160</v>
      </c>
      <c r="F5" s="3">
        <v>60</v>
      </c>
      <c r="G5" s="3">
        <v>35</v>
      </c>
      <c r="H5" s="3">
        <v>45</v>
      </c>
      <c r="I5" s="3">
        <v>0</v>
      </c>
      <c r="J5" s="3">
        <v>2</v>
      </c>
      <c r="K5" s="3">
        <v>0</v>
      </c>
      <c r="L5" s="3">
        <v>0</v>
      </c>
      <c r="M5" s="3">
        <v>1</v>
      </c>
      <c r="O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550</v>
      </c>
      <c r="P5">
        <f>表2_2[[#This Row],[限制等级]]*20+表2_2[[#This Row],[重量]]*10</f>
        <v>440</v>
      </c>
      <c r="Q5">
        <f t="shared" si="0"/>
        <v>550</v>
      </c>
      <c r="S5">
        <f>10+表2_2[[#This Row],[限制等级]]*0.2</f>
        <v>14.2</v>
      </c>
      <c r="T5">
        <f>25+表2_2[[#This Row],[限制等级]]*0.2</f>
        <v>29.2</v>
      </c>
    </row>
    <row r="6" spans="1:20" x14ac:dyDescent="0.3">
      <c r="A6" s="2" t="s">
        <v>144</v>
      </c>
      <c r="B6" s="2"/>
      <c r="C6" t="s">
        <v>391</v>
      </c>
      <c r="D6" s="3">
        <v>20</v>
      </c>
      <c r="E6" s="3">
        <v>250</v>
      </c>
      <c r="F6" s="3">
        <v>250</v>
      </c>
      <c r="G6" s="3">
        <v>0</v>
      </c>
      <c r="H6" s="3">
        <v>0</v>
      </c>
      <c r="I6" s="3">
        <v>0</v>
      </c>
      <c r="J6" s="3">
        <v>6</v>
      </c>
      <c r="K6" s="3">
        <v>35</v>
      </c>
      <c r="L6" s="3">
        <v>0</v>
      </c>
      <c r="M6" s="3">
        <v>3</v>
      </c>
      <c r="O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890</v>
      </c>
      <c r="P6">
        <f>表2_2[[#This Row],[限制等级]]*20+表2_2[[#This Row],[重量]]*10</f>
        <v>460</v>
      </c>
      <c r="Q6">
        <f t="shared" si="0"/>
        <v>898.4375</v>
      </c>
      <c r="S6">
        <f>10+表2_2[[#This Row],[限制等级]]*0.2</f>
        <v>14</v>
      </c>
      <c r="T6">
        <f>25+表2_2[[#This Row],[限制等级]]*0.2</f>
        <v>29</v>
      </c>
    </row>
    <row r="7" spans="1:20" x14ac:dyDescent="0.3">
      <c r="A7" s="6" t="s">
        <v>146</v>
      </c>
      <c r="B7" s="3"/>
      <c r="C7" s="19" t="s">
        <v>180</v>
      </c>
      <c r="D7" s="3">
        <v>28</v>
      </c>
      <c r="E7" s="3">
        <v>200</v>
      </c>
      <c r="F7" s="3">
        <v>100</v>
      </c>
      <c r="G7" s="3">
        <v>100</v>
      </c>
      <c r="H7" s="3">
        <v>60</v>
      </c>
      <c r="I7" s="3">
        <v>0</v>
      </c>
      <c r="J7" s="3">
        <v>8</v>
      </c>
      <c r="K7" s="3">
        <v>0</v>
      </c>
      <c r="L7" s="3">
        <v>20</v>
      </c>
      <c r="M7" s="3">
        <v>1</v>
      </c>
      <c r="O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800</v>
      </c>
      <c r="P7">
        <f>表2_2[[#This Row],[限制等级]]*20+表2_2[[#This Row],[重量]]*10</f>
        <v>640</v>
      </c>
      <c r="Q7">
        <f t="shared" si="0"/>
        <v>800</v>
      </c>
      <c r="S7">
        <f>10+表2_2[[#This Row],[限制等级]]*0.2</f>
        <v>15.600000000000001</v>
      </c>
      <c r="T7">
        <f>25+表2_2[[#This Row],[限制等级]]*0.2</f>
        <v>30.6</v>
      </c>
    </row>
    <row r="8" spans="1:20" x14ac:dyDescent="0.3">
      <c r="A8" s="6" t="s">
        <v>147</v>
      </c>
      <c r="B8" s="3"/>
      <c r="C8" t="s">
        <v>181</v>
      </c>
      <c r="D8" s="3">
        <v>31</v>
      </c>
      <c r="E8" s="3">
        <v>180</v>
      </c>
      <c r="F8" s="3">
        <v>75</v>
      </c>
      <c r="G8" s="3">
        <v>35</v>
      </c>
      <c r="H8" s="3">
        <v>30</v>
      </c>
      <c r="I8" s="3">
        <v>0</v>
      </c>
      <c r="J8" s="3">
        <v>-5</v>
      </c>
      <c r="K8" s="3">
        <v>0</v>
      </c>
      <c r="L8" s="3">
        <v>0</v>
      </c>
      <c r="M8" s="3">
        <v>0</v>
      </c>
      <c r="O8">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560</v>
      </c>
      <c r="P8">
        <f>表2_2[[#This Row],[限制等级]]*20+表2_2[[#This Row],[重量]]*10</f>
        <v>570</v>
      </c>
      <c r="Q8">
        <f t="shared" si="0"/>
        <v>570</v>
      </c>
      <c r="S8">
        <f>10+表2_2[[#This Row],[限制等级]]*0.2</f>
        <v>16.2</v>
      </c>
      <c r="T8">
        <f>25+表2_2[[#This Row],[限制等级]]*0.2</f>
        <v>31.2</v>
      </c>
    </row>
    <row r="9" spans="1:20" x14ac:dyDescent="0.3">
      <c r="A9" s="6" t="s">
        <v>154</v>
      </c>
      <c r="B9" s="3"/>
      <c r="C9" t="s">
        <v>252</v>
      </c>
      <c r="D9" s="3">
        <v>33</v>
      </c>
      <c r="E9" s="3">
        <v>230</v>
      </c>
      <c r="F9" s="3">
        <v>130</v>
      </c>
      <c r="G9" s="3">
        <v>50</v>
      </c>
      <c r="H9" s="3">
        <v>100</v>
      </c>
      <c r="I9" s="3">
        <v>0</v>
      </c>
      <c r="J9" s="3">
        <v>10</v>
      </c>
      <c r="K9" s="3">
        <v>0</v>
      </c>
      <c r="L9" s="3">
        <v>20</v>
      </c>
      <c r="M9" s="3">
        <v>1</v>
      </c>
      <c r="O9">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960</v>
      </c>
      <c r="P9">
        <f>表2_2[[#This Row],[限制等级]]*20+表2_2[[#This Row],[重量]]*10</f>
        <v>760</v>
      </c>
      <c r="Q9">
        <f t="shared" si="0"/>
        <v>950</v>
      </c>
      <c r="S9">
        <f>10+表2_2[[#This Row],[限制等级]]*0.2</f>
        <v>16.600000000000001</v>
      </c>
      <c r="T9">
        <f>25+表2_2[[#This Row],[限制等级]]*0.2</f>
        <v>31.6</v>
      </c>
    </row>
    <row r="10" spans="1:20" x14ac:dyDescent="0.3">
      <c r="A10" s="15" t="s">
        <v>145</v>
      </c>
      <c r="B10" s="3"/>
      <c r="C10" s="1" t="s">
        <v>172</v>
      </c>
      <c r="D10" s="12">
        <v>10</v>
      </c>
      <c r="E10" s="12">
        <v>105</v>
      </c>
      <c r="F10" s="12">
        <v>0</v>
      </c>
      <c r="G10" s="12">
        <v>0</v>
      </c>
      <c r="H10" s="12">
        <v>0</v>
      </c>
      <c r="I10" s="12">
        <v>0</v>
      </c>
      <c r="J10" s="12">
        <v>1</v>
      </c>
      <c r="K10" s="12">
        <v>0</v>
      </c>
      <c r="L10" s="12">
        <v>0</v>
      </c>
      <c r="M10" s="12">
        <v>0</v>
      </c>
      <c r="O10"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210</v>
      </c>
      <c r="P10">
        <f>表2_2[[#This Row],[限制等级]]*20+表2_2[[#This Row],[重量]]*10</f>
        <v>210</v>
      </c>
      <c r="Q10" s="16">
        <f>P10*1.25^M10</f>
        <v>210</v>
      </c>
      <c r="S10">
        <f>10+表2_2[[#This Row],[限制等级]]*0.2</f>
        <v>12</v>
      </c>
      <c r="T10">
        <f>25+表2_2[[#This Row],[限制等级]]*0.2</f>
        <v>27</v>
      </c>
    </row>
    <row r="11" spans="1:20" x14ac:dyDescent="0.3">
      <c r="A11" s="15" t="s">
        <v>155</v>
      </c>
      <c r="B11" s="3"/>
      <c r="D11" s="3"/>
      <c r="E11" s="3"/>
      <c r="F11" s="3"/>
      <c r="G11" s="3"/>
      <c r="H11" s="3"/>
      <c r="I11" s="3"/>
      <c r="J11" s="3"/>
      <c r="K11" s="3"/>
      <c r="L11" s="3"/>
      <c r="M11" s="3"/>
    </row>
    <row r="12" spans="1:20" x14ac:dyDescent="0.3">
      <c r="A12" s="15" t="s">
        <v>191</v>
      </c>
      <c r="B12" s="3"/>
      <c r="C12" s="24" t="s">
        <v>231</v>
      </c>
      <c r="D12" s="2" t="s">
        <v>477</v>
      </c>
      <c r="E12" s="3"/>
      <c r="F12" s="3"/>
      <c r="G12" s="3"/>
      <c r="H12" s="3"/>
      <c r="I12" s="3"/>
      <c r="J12" s="3"/>
      <c r="K12" s="3"/>
      <c r="L12" s="3"/>
      <c r="M12" s="3"/>
    </row>
    <row r="13" spans="1:20" x14ac:dyDescent="0.3">
      <c r="B13" s="3"/>
      <c r="C13" s="2"/>
      <c r="D13" s="2" t="s">
        <v>478</v>
      </c>
      <c r="E13" s="3"/>
      <c r="F13" s="3"/>
      <c r="G13" s="3"/>
      <c r="H13" s="3"/>
      <c r="I13" s="3"/>
      <c r="J13" s="3"/>
      <c r="K13" s="3"/>
      <c r="L13" s="3"/>
      <c r="M13" s="3"/>
    </row>
    <row r="14" spans="1:20" x14ac:dyDescent="0.3">
      <c r="B14" s="3"/>
      <c r="C14" s="2"/>
      <c r="D14" s="2"/>
      <c r="E14" s="3"/>
      <c r="F14" s="3"/>
      <c r="G14" s="3"/>
      <c r="H14" s="3"/>
      <c r="I14" s="3"/>
      <c r="J14" s="3"/>
      <c r="K14" s="3"/>
      <c r="L14" s="3"/>
      <c r="M14" s="3"/>
      <c r="S14">
        <f>10+表2_2[[#This Row],[限制等级]]*0.2</f>
        <v>10</v>
      </c>
      <c r="T14">
        <f>25+表2_2[[#This Row],[限制等级]]*0.2</f>
        <v>25</v>
      </c>
    </row>
    <row r="15" spans="1:20" x14ac:dyDescent="0.3">
      <c r="B15" s="2" t="s">
        <v>476</v>
      </c>
      <c r="C15" s="1" t="s">
        <v>172</v>
      </c>
      <c r="D15" s="12">
        <v>10</v>
      </c>
      <c r="E15" s="12">
        <v>5</v>
      </c>
      <c r="F15" s="12">
        <v>0</v>
      </c>
      <c r="G15" s="12">
        <v>0</v>
      </c>
      <c r="H15" s="12">
        <v>0</v>
      </c>
      <c r="I15" s="12">
        <v>0</v>
      </c>
      <c r="J15" s="12">
        <v>1</v>
      </c>
      <c r="K15" s="12">
        <v>50</v>
      </c>
      <c r="L15" s="12">
        <v>0</v>
      </c>
      <c r="M15" s="12">
        <v>0</v>
      </c>
      <c r="O15"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Row],[加权总分]]*0.7,表2_2[[#This Row],[伤害加成]]*3+表2_2[[#This Row],[刀/枪总加成]]*3,表2_2[[#This Row],[伤害加成]]*3+表2_2[[#This Row],[刀/枪总加成]]*3+2*(表2_2[[#This Row],[伤害加成]]*3+表2_2[[#This Row],[刀/枪总加成]]*3-表2_2[[#This Row],[加权总分]]*0.7))+IF(表2_2[[#This Row],[刀/枪总加成]]*3&gt;表2_2[[#This Row],[加权总分]]*0.3,2*(表2_2[[#This Row],[刀/枪总加成]]*3-表2_2[[#This Row],[加权总分]]*0.3),0)+表2_2[[#This Row],[空手加成]]*4+表2_2[[#This Row],[法抗]]</f>
        <v>210</v>
      </c>
      <c r="P15">
        <f>表2_2[[#This Row],[限制等级]]*20+表2_2[[#This Row],[重量]]*10</f>
        <v>210</v>
      </c>
      <c r="Q15" s="16">
        <f>P15*1.25^M15</f>
        <v>210</v>
      </c>
      <c r="S15">
        <f>10+表2_2[[#This Row],[限制等级]]*0.2</f>
        <v>12</v>
      </c>
      <c r="T15">
        <f>25+表2_2[[#This Row],[限制等级]]*0.2</f>
        <v>27</v>
      </c>
    </row>
    <row r="16" spans="1:20" x14ac:dyDescent="0.3">
      <c r="B16" s="2"/>
      <c r="D16" s="3"/>
      <c r="E16" s="3"/>
      <c r="F16" s="3"/>
      <c r="G16" s="3"/>
      <c r="H16" s="3"/>
      <c r="I16" s="3"/>
      <c r="J16" s="3"/>
      <c r="K16" s="3"/>
      <c r="L16" s="3"/>
      <c r="M16" s="3"/>
    </row>
    <row r="17" spans="2:20" x14ac:dyDescent="0.3">
      <c r="B17" s="2" t="s">
        <v>189</v>
      </c>
      <c r="C17" t="s">
        <v>190</v>
      </c>
      <c r="D17">
        <v>20</v>
      </c>
      <c r="E17">
        <v>90</v>
      </c>
      <c r="F17">
        <v>120</v>
      </c>
      <c r="G17">
        <v>80</v>
      </c>
      <c r="H17">
        <v>35</v>
      </c>
      <c r="I17">
        <v>0</v>
      </c>
      <c r="J17">
        <v>0</v>
      </c>
      <c r="K17">
        <v>0</v>
      </c>
      <c r="L17">
        <v>0</v>
      </c>
      <c r="M17">
        <v>1</v>
      </c>
      <c r="O1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485</v>
      </c>
      <c r="P17">
        <f>表2_2[[#This Row],[限制等级]]*20</f>
        <v>400</v>
      </c>
      <c r="Q17">
        <f t="shared" ref="Q17:Q18" si="1">P17*1.25^M17</f>
        <v>500</v>
      </c>
      <c r="S17">
        <v>0</v>
      </c>
      <c r="T17">
        <v>0</v>
      </c>
    </row>
    <row r="18" spans="2:20" x14ac:dyDescent="0.3">
      <c r="B18" s="3"/>
      <c r="C18" s="1" t="s">
        <v>253</v>
      </c>
      <c r="D18" s="12">
        <v>35</v>
      </c>
      <c r="E18" s="12">
        <v>100</v>
      </c>
      <c r="F18" s="12">
        <v>250</v>
      </c>
      <c r="G18" s="12">
        <v>250</v>
      </c>
      <c r="H18" s="12">
        <v>0</v>
      </c>
      <c r="I18" s="12">
        <v>0</v>
      </c>
      <c r="J18" s="12">
        <v>0</v>
      </c>
      <c r="K18" s="12">
        <v>0</v>
      </c>
      <c r="L18" s="12">
        <v>0</v>
      </c>
      <c r="M18" s="12">
        <v>0</v>
      </c>
      <c r="O18"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700</v>
      </c>
      <c r="P18">
        <f>表2_2[[#This Row],[限制等级]]*20</f>
        <v>700</v>
      </c>
      <c r="Q18" s="16">
        <f t="shared" si="1"/>
        <v>700</v>
      </c>
      <c r="S18">
        <v>0</v>
      </c>
      <c r="T18">
        <v>0</v>
      </c>
    </row>
    <row r="19" spans="2:20" x14ac:dyDescent="0.3">
      <c r="B19" s="3"/>
      <c r="C19" s="1"/>
      <c r="D19" s="1"/>
      <c r="E19" s="1"/>
      <c r="F19" s="1"/>
      <c r="G19" s="1"/>
      <c r="H19" s="1"/>
      <c r="I19" s="1"/>
      <c r="J19" s="1"/>
      <c r="K19" s="1"/>
      <c r="L19" s="1"/>
      <c r="M19" s="1"/>
      <c r="N19" s="1"/>
      <c r="O19" s="1"/>
      <c r="P19" s="1"/>
      <c r="Q19" s="1"/>
      <c r="R19" s="1"/>
      <c r="S19" s="1"/>
      <c r="T19" s="1"/>
    </row>
    <row r="20" spans="2:20" x14ac:dyDescent="0.3">
      <c r="B20" s="3"/>
      <c r="C20" s="24" t="s">
        <v>231</v>
      </c>
      <c r="D20" s="2" t="s">
        <v>390</v>
      </c>
      <c r="E20" s="1"/>
      <c r="F20" s="1"/>
      <c r="G20" s="1"/>
      <c r="H20" s="1"/>
      <c r="I20" s="1"/>
      <c r="J20" s="1"/>
      <c r="K20" s="1"/>
      <c r="L20" s="1"/>
      <c r="M20" s="1"/>
      <c r="N20" s="1"/>
      <c r="O20" s="1"/>
      <c r="P20" s="1"/>
      <c r="Q20" s="1"/>
      <c r="R20" s="1"/>
      <c r="S20" s="1"/>
      <c r="T20" s="1"/>
    </row>
    <row r="21" spans="2:20" x14ac:dyDescent="0.3">
      <c r="B21" s="3"/>
    </row>
    <row r="22" spans="2:20" x14ac:dyDescent="0.3">
      <c r="B22" s="4" t="s">
        <v>39</v>
      </c>
      <c r="C22" s="2" t="s">
        <v>187</v>
      </c>
    </row>
    <row r="23" spans="2:20" x14ac:dyDescent="0.3">
      <c r="B23" s="3"/>
      <c r="C23" t="s">
        <v>202</v>
      </c>
    </row>
    <row r="24" spans="2:20" x14ac:dyDescent="0.3">
      <c r="B24" s="3"/>
    </row>
    <row r="25" spans="2:20" x14ac:dyDescent="0.3">
      <c r="B25" s="4" t="s">
        <v>40</v>
      </c>
      <c r="C25" t="s">
        <v>312</v>
      </c>
    </row>
    <row r="26" spans="2:20" x14ac:dyDescent="0.3">
      <c r="C26" t="s">
        <v>194</v>
      </c>
    </row>
    <row r="27" spans="2:20" x14ac:dyDescent="0.3">
      <c r="C27" t="s">
        <v>47</v>
      </c>
    </row>
    <row r="28" spans="2:20" x14ac:dyDescent="0.3">
      <c r="C28" t="s">
        <v>177</v>
      </c>
    </row>
    <row r="29" spans="2:20" x14ac:dyDescent="0.3">
      <c r="C29" t="s">
        <v>311</v>
      </c>
    </row>
    <row r="30" spans="2:20" x14ac:dyDescent="0.3">
      <c r="C30" t="s">
        <v>188</v>
      </c>
    </row>
    <row r="31" spans="2:20" x14ac:dyDescent="0.3">
      <c r="C31" t="s">
        <v>389</v>
      </c>
    </row>
    <row r="32" spans="2:20" x14ac:dyDescent="0.3">
      <c r="C32" t="s">
        <v>313</v>
      </c>
    </row>
  </sheetData>
  <phoneticPr fontId="1" type="noConversion"/>
  <pageMargins left="0.7" right="0.7" top="0.75" bottom="0.75" header="0.3" footer="0.3"/>
  <pageSetup paperSize="9" orientation="portrait" r:id="rId1"/>
  <ignoredErrors>
    <ignoredError sqref="S17:T17 S18:T18"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22"/>
  <sheetViews>
    <sheetView workbookViewId="0">
      <selection activeCell="D27" sqref="A1:XFD1048576"/>
    </sheetView>
  </sheetViews>
  <sheetFormatPr defaultRowHeight="14" x14ac:dyDescent="0.3"/>
  <cols>
    <col min="1" max="1" width="15.25" customWidth="1"/>
    <col min="3" max="3" width="10.5" customWidth="1"/>
    <col min="5" max="5" width="8.6640625" customWidth="1"/>
    <col min="6" max="6" width="11.75" customWidth="1"/>
    <col min="7" max="7" width="8.25" customWidth="1"/>
    <col min="10" max="10" width="9.6640625" customWidth="1"/>
  </cols>
  <sheetData>
    <row r="1" spans="1:10" x14ac:dyDescent="0.3">
      <c r="A1" t="s">
        <v>35</v>
      </c>
      <c r="D1" t="s">
        <v>45</v>
      </c>
      <c r="E1" t="s">
        <v>290</v>
      </c>
    </row>
    <row r="2" spans="1:10" x14ac:dyDescent="0.3">
      <c r="D2" t="s">
        <v>14</v>
      </c>
      <c r="E2" t="s">
        <v>165</v>
      </c>
      <c r="F2" t="s">
        <v>264</v>
      </c>
      <c r="G2" t="s">
        <v>36</v>
      </c>
      <c r="J2" t="s">
        <v>37</v>
      </c>
    </row>
    <row r="3" spans="1:10" x14ac:dyDescent="0.3">
      <c r="C3" t="s">
        <v>38</v>
      </c>
      <c r="D3">
        <v>13</v>
      </c>
      <c r="E3">
        <v>2</v>
      </c>
      <c r="F3">
        <v>1</v>
      </c>
      <c r="G3">
        <v>0</v>
      </c>
      <c r="J3">
        <f>(D3*10*1.25^G3+E3*3)/1.6^(F3-1)</f>
        <v>136</v>
      </c>
    </row>
    <row r="4" spans="1:10" x14ac:dyDescent="0.3">
      <c r="C4" s="1" t="s">
        <v>51</v>
      </c>
      <c r="D4" s="37">
        <v>35</v>
      </c>
      <c r="E4" s="37">
        <v>3</v>
      </c>
      <c r="F4" s="37">
        <v>1</v>
      </c>
      <c r="G4" s="37">
        <v>0</v>
      </c>
      <c r="J4" s="40">
        <f>(D4*10*1.25^G4+E4*3)/1.6^(F4-1)</f>
        <v>359</v>
      </c>
    </row>
    <row r="5" spans="1:10" x14ac:dyDescent="0.3">
      <c r="A5" s="2" t="s">
        <v>144</v>
      </c>
    </row>
    <row r="6" spans="1:10" x14ac:dyDescent="0.3">
      <c r="A6" s="6" t="s">
        <v>146</v>
      </c>
    </row>
    <row r="7" spans="1:10" x14ac:dyDescent="0.3">
      <c r="A7" s="6" t="s">
        <v>147</v>
      </c>
    </row>
    <row r="8" spans="1:10" x14ac:dyDescent="0.3">
      <c r="A8" s="6" t="s">
        <v>154</v>
      </c>
    </row>
    <row r="9" spans="1:10" x14ac:dyDescent="0.3">
      <c r="A9" s="15" t="s">
        <v>145</v>
      </c>
      <c r="C9" t="s">
        <v>54</v>
      </c>
    </row>
    <row r="10" spans="1:10" x14ac:dyDescent="0.3">
      <c r="A10" s="15" t="s">
        <v>524</v>
      </c>
      <c r="C10" t="s">
        <v>517</v>
      </c>
    </row>
    <row r="11" spans="1:10" x14ac:dyDescent="0.3">
      <c r="C11" s="2" t="s">
        <v>308</v>
      </c>
    </row>
    <row r="12" spans="1:10" x14ac:dyDescent="0.3">
      <c r="C12" t="s">
        <v>526</v>
      </c>
    </row>
    <row r="13" spans="1:10" x14ac:dyDescent="0.3">
      <c r="C13" s="1" t="s">
        <v>310</v>
      </c>
    </row>
    <row r="17" spans="2:10" x14ac:dyDescent="0.3">
      <c r="B17" t="s">
        <v>518</v>
      </c>
      <c r="E17" t="s">
        <v>521</v>
      </c>
      <c r="F17" t="s">
        <v>519</v>
      </c>
      <c r="G17" t="s">
        <v>520</v>
      </c>
      <c r="H17" t="s">
        <v>111</v>
      </c>
      <c r="J17" t="s">
        <v>522</v>
      </c>
    </row>
    <row r="18" spans="2:10" x14ac:dyDescent="0.3">
      <c r="B18" t="s">
        <v>523</v>
      </c>
      <c r="E18" s="37">
        <v>250</v>
      </c>
      <c r="F18" s="37">
        <v>100</v>
      </c>
      <c r="G18" s="37">
        <v>100</v>
      </c>
      <c r="H18" s="37">
        <v>60</v>
      </c>
      <c r="J18" s="52">
        <f>E18+F18/3+G18/3+H18/1.5</f>
        <v>356.66666666666663</v>
      </c>
    </row>
    <row r="21" spans="2:10" x14ac:dyDescent="0.3">
      <c r="B21" t="s">
        <v>314</v>
      </c>
      <c r="E21" t="s">
        <v>14</v>
      </c>
      <c r="F21" t="s">
        <v>316</v>
      </c>
      <c r="J21" t="s">
        <v>315</v>
      </c>
    </row>
    <row r="22" spans="2:10" x14ac:dyDescent="0.3">
      <c r="B22" t="s">
        <v>317</v>
      </c>
      <c r="E22" s="37">
        <v>20</v>
      </c>
      <c r="F22" s="37">
        <v>30</v>
      </c>
      <c r="J22" s="40">
        <f>F22*E22/16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7"/>
  <sheetViews>
    <sheetView workbookViewId="0">
      <selection activeCell="D5" sqref="D5"/>
    </sheetView>
  </sheetViews>
  <sheetFormatPr defaultRowHeight="14" x14ac:dyDescent="0.3"/>
  <cols>
    <col min="1" max="1" width="16.25" customWidth="1"/>
    <col min="3" max="3" width="10.1640625" customWidth="1"/>
    <col min="7" max="7" width="11.58203125" customWidth="1"/>
    <col min="8" max="8" width="11.4140625" customWidth="1"/>
  </cols>
  <sheetData>
    <row r="1" spans="1:11" x14ac:dyDescent="0.3">
      <c r="A1" t="s">
        <v>29</v>
      </c>
      <c r="B1" s="2" t="s">
        <v>309</v>
      </c>
    </row>
    <row r="2" spans="1:11" x14ac:dyDescent="0.3">
      <c r="A2" t="s">
        <v>28</v>
      </c>
      <c r="B2" t="s">
        <v>34</v>
      </c>
      <c r="D2" s="2" t="s">
        <v>30</v>
      </c>
      <c r="E2" s="2" t="s">
        <v>10</v>
      </c>
      <c r="F2" s="2" t="s">
        <v>3</v>
      </c>
      <c r="G2" s="2" t="s">
        <v>14</v>
      </c>
      <c r="H2" s="2" t="s">
        <v>88</v>
      </c>
      <c r="I2" s="2"/>
      <c r="K2" s="2" t="s">
        <v>31</v>
      </c>
    </row>
    <row r="3" spans="1:11" x14ac:dyDescent="0.3">
      <c r="D3">
        <v>3000</v>
      </c>
      <c r="E3">
        <v>7500</v>
      </c>
      <c r="F3">
        <v>1</v>
      </c>
      <c r="G3">
        <v>15</v>
      </c>
      <c r="H3">
        <v>0</v>
      </c>
      <c r="K3" s="50">
        <f>IF(
    2.1*E3*1.25^H3*SQRT(G3/30)/(F3+0.5)^0.95 &lt;= G3*400,
    2.1*E3*1.25^H3*SQRT(G3/30)/(F3+0.5)^0.95,
    G3*400 + 0.2*G3*400 * (1 - EXP(- (2.1*E3*1.25^H3*SQRT(G3/30)/(F3+0.5)^0.95 - G3*400) / (G3*400)))
)</f>
        <v>6277.306535510872</v>
      </c>
    </row>
    <row r="4" spans="1:11" x14ac:dyDescent="0.3">
      <c r="D4">
        <v>1800</v>
      </c>
      <c r="E4">
        <v>5000</v>
      </c>
      <c r="F4">
        <v>6</v>
      </c>
      <c r="G4">
        <v>33</v>
      </c>
      <c r="H4">
        <v>0</v>
      </c>
      <c r="K4" s="50">
        <f t="shared" ref="K4:K5" si="0">IF(
    2.1*E4*1.25^H4*SQRT(G4/30)/(F4+0.5)^0.95 &lt;= G4*400,
    2.1*E4*1.25^H4*SQRT(G4/30)/(F4+0.5)^0.95,
    G4*400 + 0.2*G4*400 * (1 - EXP(- (2.1*E4*1.25^H4*SQRT(G4/30)/(F4+0.5)^0.95 - G4*400) / (G4*400)))
)</f>
        <v>1860.4497861632703</v>
      </c>
    </row>
    <row r="5" spans="1:11" x14ac:dyDescent="0.3">
      <c r="C5" s="1" t="s">
        <v>52</v>
      </c>
      <c r="D5">
        <v>3000</v>
      </c>
      <c r="E5">
        <v>7500</v>
      </c>
      <c r="F5">
        <v>5</v>
      </c>
      <c r="G5">
        <v>50</v>
      </c>
      <c r="H5">
        <v>0</v>
      </c>
      <c r="K5" s="48">
        <f t="shared" si="0"/>
        <v>4025.8758493764772</v>
      </c>
    </row>
    <row r="8" spans="1:11" x14ac:dyDescent="0.3">
      <c r="C8" t="s">
        <v>532</v>
      </c>
    </row>
    <row r="11" spans="1:11" x14ac:dyDescent="0.3">
      <c r="B11" t="s">
        <v>32</v>
      </c>
      <c r="D11" s="2" t="s">
        <v>30</v>
      </c>
      <c r="E11" s="2" t="s">
        <v>33</v>
      </c>
      <c r="F11" s="2" t="s">
        <v>14</v>
      </c>
      <c r="G11" s="2" t="s">
        <v>392</v>
      </c>
      <c r="K11" s="2" t="s">
        <v>31</v>
      </c>
    </row>
    <row r="12" spans="1:11" x14ac:dyDescent="0.3">
      <c r="D12">
        <v>1000</v>
      </c>
      <c r="E12">
        <v>1000</v>
      </c>
      <c r="F12">
        <v>1</v>
      </c>
      <c r="G12">
        <v>1</v>
      </c>
      <c r="K12" s="50">
        <f>IF(E12 &gt; 800 +F12 * 200 + IF(F12 &gt;=30,1200 * (F12 - 29) * (F12 - 29),0), 800 +F12 * 200+ IF(F12 &gt;=30,1200  * (F12 - 29) * (F12 - 29),0) + (E12 - 800 -F12 * 200-IF(F12 &gt;=30,1200 * (F12 - 29) * (F12 - 29),0))/10,E12 )/G12</f>
        <v>1000</v>
      </c>
    </row>
    <row r="13" spans="1:11" ht="13" customHeight="1" x14ac:dyDescent="0.3">
      <c r="C13" s="1" t="s">
        <v>53</v>
      </c>
      <c r="D13">
        <v>8000</v>
      </c>
      <c r="E13">
        <v>8000</v>
      </c>
      <c r="F13">
        <v>30</v>
      </c>
      <c r="G13">
        <v>1</v>
      </c>
      <c r="K13" s="48">
        <f>IF(E13 &gt; 800 +F13 * 200 + IF(F13 &gt;=30,350 * (F13 - 27) * (F13 - 27),0), 800 +F13 * 200+ IF(F13 &gt;=30,350  * (F13 - 27) * (F13 - 27),0) + (E13 - 800 -F13 * 200-IF(F13 &gt;=30,350 * (F13 - 27) * (F13 - 27),0))/10,E13 )/G13</f>
        <v>8000</v>
      </c>
    </row>
    <row r="17" spans="3:4" x14ac:dyDescent="0.3">
      <c r="C17" s="42" t="s">
        <v>269</v>
      </c>
      <c r="D17" t="s">
        <v>393</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29"/>
  <sheetViews>
    <sheetView topLeftCell="A4" workbookViewId="0">
      <selection activeCell="G8" sqref="G8"/>
    </sheetView>
  </sheetViews>
  <sheetFormatPr defaultRowHeight="14" x14ac:dyDescent="0.3"/>
  <cols>
    <col min="8" max="8" width="11.75" customWidth="1"/>
  </cols>
  <sheetData>
    <row r="1" spans="1:14" x14ac:dyDescent="0.3">
      <c r="A1" t="s">
        <v>78</v>
      </c>
    </row>
    <row r="4" spans="1:14" x14ac:dyDescent="0.3">
      <c r="B4" t="s">
        <v>79</v>
      </c>
      <c r="D4" s="2" t="s">
        <v>14</v>
      </c>
      <c r="E4" s="2" t="s">
        <v>36</v>
      </c>
      <c r="F4" s="2" t="s">
        <v>6</v>
      </c>
      <c r="G4" s="2" t="s">
        <v>87</v>
      </c>
      <c r="H4" s="2" t="s">
        <v>264</v>
      </c>
      <c r="J4" s="2" t="s">
        <v>81</v>
      </c>
      <c r="K4" s="2" t="s">
        <v>82</v>
      </c>
      <c r="N4" t="s">
        <v>100</v>
      </c>
    </row>
    <row r="5" spans="1:14" x14ac:dyDescent="0.3">
      <c r="C5" t="s">
        <v>86</v>
      </c>
      <c r="D5">
        <v>5</v>
      </c>
      <c r="E5">
        <v>0</v>
      </c>
      <c r="F5">
        <v>1</v>
      </c>
      <c r="G5">
        <v>1</v>
      </c>
      <c r="H5">
        <v>1</v>
      </c>
      <c r="J5">
        <f>D5*3900*(1.6)^(E5)*G5*1.6^(H5-1)/F5</f>
        <v>19500</v>
      </c>
      <c r="K5" s="5">
        <f>D5*120*(1.5)^E5*G5*1.6^(H5-1)/F5</f>
        <v>600</v>
      </c>
      <c r="N5">
        <f>J5/K5</f>
        <v>32.5</v>
      </c>
    </row>
    <row r="6" spans="1:14" x14ac:dyDescent="0.3">
      <c r="C6" t="s">
        <v>85</v>
      </c>
      <c r="D6">
        <v>20</v>
      </c>
      <c r="E6">
        <v>0</v>
      </c>
      <c r="F6">
        <v>1</v>
      </c>
      <c r="G6">
        <v>1</v>
      </c>
      <c r="H6">
        <v>1</v>
      </c>
      <c r="J6">
        <f t="shared" ref="J6:J8" si="0">D6*3900*(1.6)^(E6)*G6*1.6^(H6-1)/F6</f>
        <v>78000</v>
      </c>
      <c r="K6" s="5">
        <f t="shared" ref="K6:K8" si="1">D6*120*(1.5)^E6*G6*1.6^(H6-1)/F6</f>
        <v>2400</v>
      </c>
      <c r="N6">
        <f>J6/K6</f>
        <v>32.5</v>
      </c>
    </row>
    <row r="7" spans="1:14" x14ac:dyDescent="0.3">
      <c r="C7" t="s">
        <v>84</v>
      </c>
      <c r="D7">
        <v>2</v>
      </c>
      <c r="E7">
        <v>0</v>
      </c>
      <c r="F7">
        <v>1.5</v>
      </c>
      <c r="G7">
        <v>1</v>
      </c>
      <c r="H7">
        <v>1</v>
      </c>
      <c r="J7">
        <f t="shared" si="0"/>
        <v>5200</v>
      </c>
      <c r="K7" s="5">
        <f t="shared" si="1"/>
        <v>160</v>
      </c>
      <c r="N7">
        <f>J7/K7</f>
        <v>32.5</v>
      </c>
    </row>
    <row r="8" spans="1:14" x14ac:dyDescent="0.3">
      <c r="C8" s="1" t="s">
        <v>83</v>
      </c>
      <c r="D8">
        <v>22</v>
      </c>
      <c r="E8">
        <v>0</v>
      </c>
      <c r="F8">
        <v>1</v>
      </c>
      <c r="G8">
        <v>1.5</v>
      </c>
      <c r="H8">
        <v>1</v>
      </c>
      <c r="J8">
        <f t="shared" si="0"/>
        <v>128700</v>
      </c>
      <c r="K8" s="5">
        <f t="shared" si="1"/>
        <v>3960</v>
      </c>
      <c r="N8">
        <f>J8/K8</f>
        <v>32.5</v>
      </c>
    </row>
    <row r="11" spans="1:14" x14ac:dyDescent="0.3">
      <c r="C11" t="s">
        <v>267</v>
      </c>
      <c r="D11" t="s">
        <v>306</v>
      </c>
    </row>
    <row r="12" spans="1:14" x14ac:dyDescent="0.3">
      <c r="C12" s="2" t="s">
        <v>305</v>
      </c>
      <c r="D12" t="s">
        <v>507</v>
      </c>
    </row>
    <row r="13" spans="1:14" x14ac:dyDescent="0.3">
      <c r="D13" t="s">
        <v>516</v>
      </c>
    </row>
    <row r="14" spans="1:14" x14ac:dyDescent="0.3">
      <c r="C14" t="s">
        <v>307</v>
      </c>
    </row>
    <row r="16" spans="1:14" x14ac:dyDescent="0.3">
      <c r="B16" t="s">
        <v>80</v>
      </c>
      <c r="C16" t="s">
        <v>86</v>
      </c>
      <c r="D16">
        <v>5</v>
      </c>
      <c r="E16">
        <v>1</v>
      </c>
      <c r="G16">
        <v>1</v>
      </c>
      <c r="H16">
        <v>1</v>
      </c>
      <c r="J16">
        <f>D16*2600*(1.6)^E16*G16*1.6^(H16-1)</f>
        <v>20800</v>
      </c>
      <c r="K16" s="5">
        <f>D16*90*(1.5)^E16*1.6^(H16-1)</f>
        <v>675</v>
      </c>
      <c r="N16">
        <f>J16/K16</f>
        <v>30.814814814814813</v>
      </c>
    </row>
    <row r="17" spans="3:14" x14ac:dyDescent="0.3">
      <c r="D17">
        <v>10</v>
      </c>
      <c r="E17">
        <v>0</v>
      </c>
      <c r="G17">
        <v>1</v>
      </c>
      <c r="H17">
        <v>1</v>
      </c>
      <c r="J17">
        <f t="shared" ref="J17:J19" si="2">D17*2600*(1.6)^E17*G17*1.6^(H17-1)</f>
        <v>26000</v>
      </c>
      <c r="K17" s="5">
        <f t="shared" ref="K17:K19" si="3">D17*90*(1.5)^E17*1.6^(H17-1)</f>
        <v>900</v>
      </c>
      <c r="N17">
        <f>J17/K17</f>
        <v>28.888888888888889</v>
      </c>
    </row>
    <row r="18" spans="3:14" x14ac:dyDescent="0.3">
      <c r="D18">
        <v>32</v>
      </c>
      <c r="E18">
        <v>1</v>
      </c>
      <c r="G18">
        <v>1</v>
      </c>
      <c r="H18">
        <v>1</v>
      </c>
      <c r="J18">
        <f t="shared" si="2"/>
        <v>133120</v>
      </c>
      <c r="K18" s="5">
        <f t="shared" si="3"/>
        <v>4320</v>
      </c>
      <c r="N18">
        <f>J18/K18</f>
        <v>30.814814814814813</v>
      </c>
    </row>
    <row r="19" spans="3:14" x14ac:dyDescent="0.3">
      <c r="C19" s="1" t="s">
        <v>83</v>
      </c>
      <c r="D19">
        <v>20</v>
      </c>
      <c r="E19">
        <v>0</v>
      </c>
      <c r="G19">
        <v>1</v>
      </c>
      <c r="H19">
        <v>1</v>
      </c>
      <c r="J19">
        <f t="shared" si="2"/>
        <v>52000</v>
      </c>
      <c r="K19" s="5">
        <f t="shared" si="3"/>
        <v>1800</v>
      </c>
      <c r="N19">
        <f>J19/K19</f>
        <v>28.888888888888889</v>
      </c>
    </row>
    <row r="22" spans="3:14" x14ac:dyDescent="0.3">
      <c r="C22" s="2" t="s">
        <v>305</v>
      </c>
      <c r="D22" t="s">
        <v>535</v>
      </c>
    </row>
    <row r="25" spans="3:14" x14ac:dyDescent="0.3">
      <c r="C25" s="2" t="s">
        <v>536</v>
      </c>
      <c r="D25" t="s">
        <v>541</v>
      </c>
    </row>
    <row r="26" spans="3:14" x14ac:dyDescent="0.3">
      <c r="D26" t="s">
        <v>128</v>
      </c>
    </row>
    <row r="27" spans="3:14" x14ac:dyDescent="0.3">
      <c r="D27" t="s">
        <v>538</v>
      </c>
    </row>
    <row r="28" spans="3:14" x14ac:dyDescent="0.3">
      <c r="D28" t="s">
        <v>539</v>
      </c>
    </row>
    <row r="29" spans="3:14" x14ac:dyDescent="0.3">
      <c r="D29" t="s">
        <v>304</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4"/>
  <sheetViews>
    <sheetView workbookViewId="0">
      <selection activeCell="G8" sqref="G8"/>
    </sheetView>
  </sheetViews>
  <sheetFormatPr defaultRowHeight="14" x14ac:dyDescent="0.3"/>
  <cols>
    <col min="1" max="1" width="17.5" customWidth="1"/>
    <col min="2" max="2" width="16.9140625" customWidth="1"/>
    <col min="3" max="3" width="14.75" customWidth="1"/>
    <col min="4" max="4" width="8.83203125" customWidth="1"/>
    <col min="5" max="5" width="8.5" style="21" customWidth="1"/>
    <col min="6" max="6" width="8" customWidth="1"/>
    <col min="7" max="7" width="12.08203125" customWidth="1"/>
    <col min="8" max="8" width="8.58203125" customWidth="1"/>
    <col min="9" max="9" width="11.83203125" customWidth="1"/>
    <col min="10" max="10" width="12.25" customWidth="1"/>
    <col min="11" max="11" width="13.1640625" customWidth="1"/>
    <col min="12" max="12" width="13.08203125" customWidth="1"/>
    <col min="13" max="13" width="6.08203125" customWidth="1"/>
    <col min="14" max="14" width="13.83203125" customWidth="1"/>
    <col min="15" max="15" width="11.25" customWidth="1"/>
    <col min="16" max="16" width="13.9140625" customWidth="1"/>
    <col min="17" max="17" width="12.5" customWidth="1"/>
    <col min="18" max="18" width="10.6640625" customWidth="1"/>
  </cols>
  <sheetData>
    <row r="1" spans="1:17" x14ac:dyDescent="0.3">
      <c r="A1" t="s">
        <v>196</v>
      </c>
      <c r="D1" t="s">
        <v>45</v>
      </c>
      <c r="E1" s="21" t="s">
        <v>197</v>
      </c>
      <c r="N1" t="s">
        <v>214</v>
      </c>
    </row>
    <row r="2" spans="1:17" x14ac:dyDescent="0.3">
      <c r="B2" s="10" t="s">
        <v>48</v>
      </c>
      <c r="C2" s="10" t="s">
        <v>192</v>
      </c>
      <c r="D2" s="8" t="s">
        <v>14</v>
      </c>
      <c r="E2" s="20" t="s">
        <v>36</v>
      </c>
      <c r="F2" s="20" t="s">
        <v>533</v>
      </c>
      <c r="G2" s="20" t="s">
        <v>207</v>
      </c>
      <c r="H2" s="20" t="s">
        <v>208</v>
      </c>
      <c r="I2" s="20" t="s">
        <v>205</v>
      </c>
      <c r="J2" s="20" t="s">
        <v>206</v>
      </c>
      <c r="K2" s="8" t="s">
        <v>241</v>
      </c>
      <c r="L2" s="11" t="s">
        <v>217</v>
      </c>
      <c r="M2" s="11" t="s">
        <v>216</v>
      </c>
      <c r="N2" s="26" t="s">
        <v>198</v>
      </c>
      <c r="O2" s="26" t="s">
        <v>199</v>
      </c>
      <c r="P2" s="26" t="s">
        <v>200</v>
      </c>
      <c r="Q2" s="11" t="s">
        <v>150</v>
      </c>
    </row>
    <row r="3" spans="1:17" x14ac:dyDescent="0.3">
      <c r="B3" s="2" t="s">
        <v>171</v>
      </c>
      <c r="C3" t="s">
        <v>222</v>
      </c>
      <c r="D3">
        <v>21</v>
      </c>
      <c r="E3" s="21">
        <v>1</v>
      </c>
      <c r="F3" s="21">
        <v>1</v>
      </c>
      <c r="G3">
        <v>2000</v>
      </c>
      <c r="H3">
        <v>0</v>
      </c>
      <c r="I3">
        <v>10000</v>
      </c>
      <c r="J3">
        <v>6500</v>
      </c>
      <c r="K3">
        <v>23400</v>
      </c>
      <c r="N3">
        <f>表2_4[[#This Row],[金币需求]]+表2_4[[#This Row],[K点需求]]*30+表2_4[[#This Row],[材料价格]]+表2_4[[#This Row],[装备折算价格]]+表2_4[[#This Row],[掉落物折算价格]]</f>
        <v>41900</v>
      </c>
      <c r="O3">
        <f>表2_4[[#This Row],[限制等级]]*2000*表2_4[[#This Row],[种族系数]]</f>
        <v>42000</v>
      </c>
      <c r="P3">
        <f>IF(表2_4[[#This Row],[加权层数]]&gt;=1,O3*1.6^(E3-1),O3*1.6^(E3*3-3))</f>
        <v>42000</v>
      </c>
    </row>
    <row r="4" spans="1:17" x14ac:dyDescent="0.3">
      <c r="B4" s="3"/>
      <c r="C4" s="1" t="s">
        <v>172</v>
      </c>
      <c r="D4" s="12">
        <v>35</v>
      </c>
      <c r="E4" s="22">
        <v>1</v>
      </c>
      <c r="F4" s="22">
        <v>1</v>
      </c>
      <c r="G4" s="12">
        <v>70000</v>
      </c>
      <c r="H4" s="12">
        <v>0</v>
      </c>
      <c r="I4" s="12">
        <v>0</v>
      </c>
      <c r="J4" s="12">
        <v>0</v>
      </c>
      <c r="K4" s="12">
        <v>0</v>
      </c>
      <c r="N4" s="17">
        <f>表2_4[[#This Row],[金币需求]]+表2_4[[#This Row],[K点需求]]*30+表2_4[[#This Row],[材料价格]]+表2_4[[#This Row],[装备折算价格]]+表2_4[[#This Row],[掉落物折算价格]]</f>
        <v>70000</v>
      </c>
      <c r="O4">
        <f>表2_4[[#This Row],[限制等级]]*2000*表2_4[[#This Row],[种族系数]]</f>
        <v>70000</v>
      </c>
      <c r="P4" s="17">
        <f>IF(表2_4[[#This Row],[加权层数]]&gt;=1,O4*1.6^(E4-1),O4*1.6^(E4*3-3))</f>
        <v>70000</v>
      </c>
    </row>
    <row r="5" spans="1:17" x14ac:dyDescent="0.3">
      <c r="A5" s="2" t="s">
        <v>144</v>
      </c>
      <c r="B5" s="3"/>
      <c r="D5" s="3"/>
      <c r="E5" s="23"/>
      <c r="F5" s="3"/>
      <c r="G5" s="3"/>
      <c r="H5" s="3"/>
      <c r="I5" s="3"/>
      <c r="J5" s="3"/>
    </row>
    <row r="6" spans="1:17" x14ac:dyDescent="0.3">
      <c r="A6" s="6" t="s">
        <v>146</v>
      </c>
      <c r="B6" s="3"/>
      <c r="C6" s="24" t="s">
        <v>231</v>
      </c>
      <c r="D6" s="2" t="s">
        <v>534</v>
      </c>
      <c r="E6" s="23"/>
      <c r="F6" s="3"/>
      <c r="G6" s="3"/>
      <c r="H6" s="3"/>
      <c r="I6" s="3"/>
      <c r="J6" s="3"/>
    </row>
    <row r="7" spans="1:17" x14ac:dyDescent="0.3">
      <c r="A7" s="6" t="s">
        <v>147</v>
      </c>
      <c r="B7" s="3"/>
      <c r="D7" s="3"/>
      <c r="E7" s="23"/>
      <c r="F7" s="3"/>
      <c r="G7" s="3"/>
      <c r="H7" s="3"/>
      <c r="I7" s="3"/>
      <c r="J7" s="3"/>
    </row>
    <row r="8" spans="1:17" x14ac:dyDescent="0.3">
      <c r="A8" s="6" t="s">
        <v>154</v>
      </c>
      <c r="B8" s="2" t="s">
        <v>212</v>
      </c>
      <c r="D8" s="8" t="s">
        <v>209</v>
      </c>
      <c r="E8" s="20" t="s">
        <v>210</v>
      </c>
      <c r="F8" s="8" t="s">
        <v>211</v>
      </c>
      <c r="G8" s="3"/>
      <c r="I8" s="3"/>
      <c r="J8" s="3"/>
      <c r="N8" s="14" t="s">
        <v>205</v>
      </c>
    </row>
    <row r="9" spans="1:17" x14ac:dyDescent="0.3">
      <c r="A9" s="15" t="s">
        <v>145</v>
      </c>
      <c r="B9" s="3"/>
      <c r="C9" t="s">
        <v>195</v>
      </c>
      <c r="D9" s="3">
        <v>5</v>
      </c>
      <c r="E9" s="23">
        <v>0</v>
      </c>
      <c r="F9" s="3">
        <v>1</v>
      </c>
      <c r="G9" s="3"/>
      <c r="I9" s="3"/>
      <c r="J9" s="3"/>
      <c r="N9" s="3">
        <f>1000*表2_4[[#This Row],[限制等级]]+6000*表2_4[[#This Row],[加权层数]]+50000*表2_4[[#This Row],[种族系数]]</f>
        <v>55000</v>
      </c>
    </row>
    <row r="10" spans="1:17" x14ac:dyDescent="0.3">
      <c r="A10" s="15" t="s">
        <v>155</v>
      </c>
      <c r="B10" s="3"/>
      <c r="C10" s="1" t="s">
        <v>172</v>
      </c>
      <c r="D10" s="12">
        <v>0</v>
      </c>
      <c r="E10" s="22">
        <v>0</v>
      </c>
      <c r="F10" s="12">
        <v>0</v>
      </c>
      <c r="G10" s="3"/>
      <c r="N10" s="17">
        <f>1000*表2_4[[#This Row],[限制等级]]+6000*表2_4[[#This Row],[加权层数]]+50000*表2_4[[#This Row],[种族系数]]</f>
        <v>0</v>
      </c>
    </row>
    <row r="11" spans="1:17" x14ac:dyDescent="0.3">
      <c r="A11" s="15" t="s">
        <v>359</v>
      </c>
      <c r="B11" s="3"/>
      <c r="D11" s="3"/>
      <c r="E11" s="23"/>
      <c r="F11" s="3"/>
      <c r="G11" s="3"/>
      <c r="H11" s="3"/>
      <c r="I11" s="3"/>
      <c r="J11" s="3"/>
    </row>
    <row r="12" spans="1:17" x14ac:dyDescent="0.3">
      <c r="B12" s="2" t="s">
        <v>218</v>
      </c>
      <c r="D12" s="20" t="s">
        <v>220</v>
      </c>
      <c r="E12" s="20" t="s">
        <v>14</v>
      </c>
      <c r="F12" s="8" t="s">
        <v>36</v>
      </c>
      <c r="G12" s="8" t="s">
        <v>224</v>
      </c>
      <c r="H12" s="8" t="s">
        <v>87</v>
      </c>
      <c r="I12" s="8" t="s">
        <v>219</v>
      </c>
      <c r="J12" s="14" t="s">
        <v>225</v>
      </c>
      <c r="K12" s="3"/>
      <c r="L12" s="3"/>
      <c r="M12" s="3"/>
      <c r="N12" s="14" t="s">
        <v>206</v>
      </c>
      <c r="O12" s="2"/>
    </row>
    <row r="13" spans="1:17" x14ac:dyDescent="0.3">
      <c r="B13" s="2"/>
      <c r="C13" t="s">
        <v>222</v>
      </c>
      <c r="D13" t="s">
        <v>221</v>
      </c>
      <c r="E13" s="21">
        <v>10</v>
      </c>
      <c r="F13">
        <v>0</v>
      </c>
      <c r="G13">
        <v>1.5</v>
      </c>
      <c r="H13">
        <v>1</v>
      </c>
      <c r="I13">
        <v>1</v>
      </c>
      <c r="J13" s="3">
        <f>表2_4[[#This Row],[材料价格]]*0.25 * E13*3900*(1.6)^(F13)*H13/G13</f>
        <v>6500</v>
      </c>
      <c r="K13" s="3"/>
      <c r="L13" s="3"/>
      <c r="M13" s="3"/>
      <c r="N13">
        <f>表2_4[[#This Row],[装备折算价格]]+J14</f>
        <v>6500</v>
      </c>
    </row>
    <row r="14" spans="1:17" x14ac:dyDescent="0.3">
      <c r="B14" s="3"/>
      <c r="D14" t="s">
        <v>223</v>
      </c>
      <c r="E14" s="21">
        <v>0</v>
      </c>
      <c r="F14">
        <v>0</v>
      </c>
      <c r="G14">
        <v>1</v>
      </c>
      <c r="H14">
        <v>1</v>
      </c>
      <c r="I14">
        <v>0</v>
      </c>
      <c r="J14" s="3">
        <f>表2_4[[#This Row],[材料价格]]*0.25 * E14*3900*(1.6)^(F14)*H14/G14</f>
        <v>0</v>
      </c>
    </row>
    <row r="15" spans="1:17" x14ac:dyDescent="0.3">
      <c r="B15" s="3"/>
      <c r="C15" s="1" t="s">
        <v>172</v>
      </c>
      <c r="D15" t="s">
        <v>226</v>
      </c>
      <c r="E15" s="22">
        <v>1</v>
      </c>
      <c r="F15" s="12">
        <v>0</v>
      </c>
      <c r="G15" s="12">
        <v>1</v>
      </c>
      <c r="H15" s="12">
        <v>1</v>
      </c>
      <c r="I15" s="12">
        <v>0</v>
      </c>
      <c r="J15" s="3">
        <f>表2_4[[#This Row],[材料价格]]*0.25 * E15*3900*(1.6)^(F15)*H15/G15</f>
        <v>0</v>
      </c>
      <c r="N15" s="17">
        <f>表2_4[[#This Row],[装备折算价格]]+J16+J17+J18</f>
        <v>0</v>
      </c>
    </row>
    <row r="16" spans="1:17" x14ac:dyDescent="0.3">
      <c r="B16" s="3"/>
      <c r="D16" t="s">
        <v>227</v>
      </c>
      <c r="E16" s="22">
        <v>1</v>
      </c>
      <c r="F16" s="12">
        <v>0</v>
      </c>
      <c r="G16" s="12">
        <v>1</v>
      </c>
      <c r="H16" s="12">
        <v>1</v>
      </c>
      <c r="I16" s="12">
        <v>0</v>
      </c>
      <c r="J16" s="3">
        <f>表2_4[[#This Row],[材料价格]]*0.25 * E16*3900*(1.6)^(F16)*H16/G16</f>
        <v>0</v>
      </c>
    </row>
    <row r="17" spans="2:17" x14ac:dyDescent="0.3">
      <c r="B17" s="3"/>
      <c r="D17" t="s">
        <v>228</v>
      </c>
      <c r="E17" s="22">
        <v>1</v>
      </c>
      <c r="F17" s="12">
        <v>0</v>
      </c>
      <c r="G17" s="12">
        <v>1</v>
      </c>
      <c r="H17" s="12">
        <v>1</v>
      </c>
      <c r="I17" s="12">
        <v>0</v>
      </c>
      <c r="J17" s="3">
        <f>表2_4[[#This Row],[材料价格]]*0.25 * E17*3900*(1.6)^(F17)*H17/G17</f>
        <v>0</v>
      </c>
    </row>
    <row r="18" spans="2:17" x14ac:dyDescent="0.3">
      <c r="B18" s="3"/>
      <c r="C18" s="2"/>
      <c r="D18" t="s">
        <v>229</v>
      </c>
      <c r="E18" s="22">
        <v>1</v>
      </c>
      <c r="F18" s="12">
        <v>0</v>
      </c>
      <c r="G18" s="12">
        <v>1</v>
      </c>
      <c r="H18" s="12">
        <v>1</v>
      </c>
      <c r="I18" s="12">
        <v>0</v>
      </c>
      <c r="J18" s="3">
        <f>表2_4[[#This Row],[材料价格]]*0.25 * E18*3900*(1.6)^(F18)*H18/G18</f>
        <v>0</v>
      </c>
    </row>
    <row r="19" spans="2:17" x14ac:dyDescent="0.3">
      <c r="B19" s="3"/>
      <c r="C19" s="24" t="s">
        <v>231</v>
      </c>
      <c r="D19" s="2" t="s">
        <v>232</v>
      </c>
    </row>
    <row r="20" spans="2:17" x14ac:dyDescent="0.3">
      <c r="B20" s="3"/>
      <c r="D20" s="2" t="s">
        <v>230</v>
      </c>
    </row>
    <row r="21" spans="2:17" x14ac:dyDescent="0.3">
      <c r="B21" s="3"/>
    </row>
    <row r="22" spans="2:17" x14ac:dyDescent="0.3">
      <c r="B22" s="2" t="s">
        <v>358</v>
      </c>
      <c r="D22" s="20" t="s">
        <v>220</v>
      </c>
      <c r="E22" s="20" t="s">
        <v>242</v>
      </c>
      <c r="F22" s="20" t="s">
        <v>233</v>
      </c>
      <c r="G22" s="20" t="s">
        <v>234</v>
      </c>
      <c r="H22" s="20" t="s">
        <v>235</v>
      </c>
      <c r="I22" s="20" t="s">
        <v>236</v>
      </c>
      <c r="J22" s="20" t="s">
        <v>237</v>
      </c>
      <c r="K22" s="25" t="s">
        <v>238</v>
      </c>
      <c r="L22" s="25" t="s">
        <v>239</v>
      </c>
      <c r="N22" s="26" t="s">
        <v>241</v>
      </c>
      <c r="P22" s="26" t="s">
        <v>244</v>
      </c>
      <c r="Q22" s="26" t="s">
        <v>240</v>
      </c>
    </row>
    <row r="23" spans="2:17" x14ac:dyDescent="0.3">
      <c r="B23" s="3"/>
      <c r="C23" t="s">
        <v>222</v>
      </c>
      <c r="D23" t="s">
        <v>247</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Row],[种族系数]]*13000*表2_4[[#This Row],[金币需求]]*表2_4[[#This Row],[K点需求]]*表2_4[[#This Row],[装备折算价格]])/(表2_4[[#This Row],[材料价格]])</f>
        <v>23400</v>
      </c>
      <c r="Q23">
        <f>MIN(表2_4[[#This Row],[掉落物折算价格]],表2_4[[#This Row],[列4]]*30)</f>
        <v>30000</v>
      </c>
    </row>
    <row r="24" spans="2:17" x14ac:dyDescent="0.3">
      <c r="B24" s="3"/>
      <c r="C24" s="1" t="s">
        <v>25</v>
      </c>
      <c r="D24" t="s">
        <v>248</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Row],[种族系数]]*13000*表2_4[[#This Row],[金币需求]]*表2_4[[#This Row],[K点需求]]*表2_4[[#This Row],[装备折算价格]])/(表2_4[[#This Row],[材料价格]])</f>
        <v>0</v>
      </c>
      <c r="Q24">
        <f>MIN(表2_4[[#This Row],[掉落物折算价格]],表2_4[[#This Row],[列4]]*30)</f>
        <v>0</v>
      </c>
    </row>
    <row r="25" spans="2:17" x14ac:dyDescent="0.3">
      <c r="B25" s="3"/>
      <c r="C25" s="1"/>
      <c r="D25" t="s">
        <v>249</v>
      </c>
      <c r="E25" s="22">
        <v>0</v>
      </c>
      <c r="F25" s="12">
        <v>1</v>
      </c>
      <c r="G25" s="12">
        <v>1</v>
      </c>
      <c r="H25" s="12">
        <v>1</v>
      </c>
      <c r="I25" s="12">
        <v>1</v>
      </c>
      <c r="J25" s="12">
        <v>1</v>
      </c>
      <c r="K25">
        <v>0</v>
      </c>
      <c r="L25">
        <v>0</v>
      </c>
      <c r="P25">
        <f>(表2_4[[#This Row],[加权层数]]*表2_4[[#This Row],[种族系数]]*13000*表2_4[[#This Row],[金币需求]]*表2_4[[#This Row],[K点需求]]*表2_4[[#This Row],[装备折算价格]])/(表2_4[[#This Row],[材料价格]])</f>
        <v>0</v>
      </c>
      <c r="Q25">
        <f>MIN(表2_4[[#This Row],[掉落物折算价格]],表2_4[[#This Row],[列4]]*30)</f>
        <v>0</v>
      </c>
    </row>
    <row r="26" spans="2:17" x14ac:dyDescent="0.3">
      <c r="B26" s="3"/>
      <c r="C26" s="1"/>
      <c r="D26" t="s">
        <v>250</v>
      </c>
      <c r="E26" s="22">
        <v>0</v>
      </c>
      <c r="F26" s="12">
        <v>1</v>
      </c>
      <c r="G26" s="12">
        <v>1</v>
      </c>
      <c r="H26" s="12">
        <v>1</v>
      </c>
      <c r="I26" s="12">
        <v>1</v>
      </c>
      <c r="J26" s="12">
        <v>1</v>
      </c>
      <c r="K26">
        <v>0</v>
      </c>
      <c r="L26">
        <v>0</v>
      </c>
      <c r="P26">
        <f>(表2_4[[#This Row],[加权层数]]*表2_4[[#This Row],[种族系数]]*13000*表2_4[[#This Row],[金币需求]]*表2_4[[#This Row],[K点需求]]*表2_4[[#This Row],[装备折算价格]])/(表2_4[[#This Row],[材料价格]])</f>
        <v>0</v>
      </c>
      <c r="Q26">
        <f>MIN(表2_4[[#This Row],[掉落物折算价格]],表2_4[[#This Row],[列4]]*30)</f>
        <v>0</v>
      </c>
    </row>
    <row r="27" spans="2:17" x14ac:dyDescent="0.3">
      <c r="B27" s="3"/>
      <c r="C27" s="24" t="s">
        <v>231</v>
      </c>
      <c r="D27" s="2" t="s">
        <v>246</v>
      </c>
      <c r="F27" s="21"/>
      <c r="G27" s="21"/>
      <c r="H27" s="21"/>
      <c r="I27" s="21"/>
      <c r="J27" s="21"/>
      <c r="N27" s="3" t="s">
        <v>356</v>
      </c>
    </row>
    <row r="28" spans="2:17" x14ac:dyDescent="0.3">
      <c r="B28" s="3"/>
      <c r="C28" s="24"/>
      <c r="D28" s="2" t="s">
        <v>243</v>
      </c>
      <c r="F28" s="21"/>
      <c r="G28" s="21"/>
      <c r="H28" s="21"/>
      <c r="I28" s="21"/>
      <c r="J28" s="21"/>
    </row>
    <row r="29" spans="2:17" x14ac:dyDescent="0.3">
      <c r="B29" s="3"/>
      <c r="D29" s="2" t="s">
        <v>245</v>
      </c>
    </row>
    <row r="30" spans="2:17" x14ac:dyDescent="0.3">
      <c r="B30" s="4" t="s">
        <v>39</v>
      </c>
      <c r="C30" s="2" t="s">
        <v>201</v>
      </c>
    </row>
    <row r="31" spans="2:17" x14ac:dyDescent="0.3">
      <c r="B31" s="3"/>
      <c r="C31" t="s">
        <v>204</v>
      </c>
    </row>
    <row r="32" spans="2:17" x14ac:dyDescent="0.3">
      <c r="B32" s="3"/>
    </row>
    <row r="33" spans="2:4" x14ac:dyDescent="0.3">
      <c r="B33" s="4" t="s">
        <v>40</v>
      </c>
      <c r="C33" s="2" t="s">
        <v>536</v>
      </c>
      <c r="D33" t="s">
        <v>537</v>
      </c>
    </row>
    <row r="34" spans="2:4" x14ac:dyDescent="0.3">
      <c r="D34" t="s">
        <v>540</v>
      </c>
    </row>
  </sheetData>
  <phoneticPr fontId="1"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P32"/>
  <sheetViews>
    <sheetView workbookViewId="0">
      <selection activeCell="M18" sqref="M18"/>
    </sheetView>
  </sheetViews>
  <sheetFormatPr defaultRowHeight="14" x14ac:dyDescent="0.3"/>
  <cols>
    <col min="3" max="3" width="13.1640625" customWidth="1"/>
    <col min="8" max="8" width="13.5" customWidth="1"/>
    <col min="9" max="9" width="9.1640625" customWidth="1"/>
    <col min="10" max="10" width="12.6640625" customWidth="1"/>
    <col min="16" max="16" width="8.25" customWidth="1"/>
    <col min="17" max="17" width="8.5" customWidth="1"/>
  </cols>
  <sheetData>
    <row r="2" spans="3:15" x14ac:dyDescent="0.3">
      <c r="D2" s="33" t="s">
        <v>415</v>
      </c>
      <c r="E2" s="33" t="s">
        <v>234</v>
      </c>
      <c r="F2" s="33" t="s">
        <v>235</v>
      </c>
      <c r="G2" s="33" t="s">
        <v>323</v>
      </c>
      <c r="H2" s="33" t="s">
        <v>341</v>
      </c>
      <c r="I2" s="33" t="s">
        <v>93</v>
      </c>
      <c r="J2" s="33" t="s">
        <v>342</v>
      </c>
      <c r="K2" s="33" t="s">
        <v>324</v>
      </c>
      <c r="M2" s="35" t="s">
        <v>322</v>
      </c>
      <c r="O2" s="35" t="s">
        <v>321</v>
      </c>
    </row>
    <row r="3" spans="3:15" x14ac:dyDescent="0.3">
      <c r="C3" t="s">
        <v>320</v>
      </c>
      <c r="D3" s="34">
        <v>1.5</v>
      </c>
      <c r="E3" s="27">
        <v>1.5</v>
      </c>
      <c r="F3" s="27">
        <v>1.5</v>
      </c>
      <c r="G3" s="45">
        <v>20000</v>
      </c>
      <c r="H3" s="27">
        <v>22000</v>
      </c>
      <c r="I3" s="27">
        <v>20000</v>
      </c>
      <c r="J3" s="45">
        <v>0</v>
      </c>
      <c r="K3" s="27">
        <v>0</v>
      </c>
      <c r="M3" s="45">
        <f>G3+H3*0.5+I3/D3+IF(D3&gt;4,K3*300/(D3-3),K3*300)+J3*0.5</f>
        <v>44333.333333333336</v>
      </c>
      <c r="O3" s="45">
        <f>(D3*13000*E3*F3)</f>
        <v>43875</v>
      </c>
    </row>
    <row r="4" spans="3:15" x14ac:dyDescent="0.3">
      <c r="C4" t="s">
        <v>340</v>
      </c>
      <c r="D4" s="34">
        <v>4</v>
      </c>
      <c r="E4" s="27">
        <v>2</v>
      </c>
      <c r="F4" s="27">
        <v>1.5</v>
      </c>
      <c r="G4" s="45">
        <v>50000</v>
      </c>
      <c r="H4" s="27">
        <v>10000</v>
      </c>
      <c r="I4" s="27">
        <v>60000</v>
      </c>
      <c r="J4" s="45">
        <v>0</v>
      </c>
      <c r="K4" s="27">
        <v>300</v>
      </c>
      <c r="M4" s="45">
        <f t="shared" ref="M4:M6" si="0">G4+H4*0.5+I4/D4+IF(D4&gt;4,K4*300/(D4-3),K4*300)+J4*0.5</f>
        <v>160000</v>
      </c>
      <c r="O4" s="45">
        <f t="shared" ref="O4:O6" si="1">(D4*13000*E4*F4)</f>
        <v>156000</v>
      </c>
    </row>
    <row r="5" spans="3:15" x14ac:dyDescent="0.3">
      <c r="C5" t="s">
        <v>344</v>
      </c>
      <c r="D5" s="34">
        <v>4</v>
      </c>
      <c r="E5" s="27">
        <v>2</v>
      </c>
      <c r="F5" s="27">
        <v>2</v>
      </c>
      <c r="G5" s="45">
        <v>50000</v>
      </c>
      <c r="H5" s="27">
        <v>4000</v>
      </c>
      <c r="I5" s="27">
        <v>50000</v>
      </c>
      <c r="J5" s="45">
        <v>260000</v>
      </c>
      <c r="K5" s="27">
        <v>0</v>
      </c>
      <c r="M5" s="45">
        <f t="shared" si="0"/>
        <v>194500</v>
      </c>
      <c r="O5" s="45">
        <f t="shared" si="1"/>
        <v>208000</v>
      </c>
    </row>
    <row r="6" spans="3:15" x14ac:dyDescent="0.3">
      <c r="C6" s="1" t="s">
        <v>319</v>
      </c>
      <c r="D6" s="36">
        <v>1</v>
      </c>
      <c r="E6" s="37">
        <v>1</v>
      </c>
      <c r="F6" s="37">
        <v>1</v>
      </c>
      <c r="G6" s="37">
        <v>0</v>
      </c>
      <c r="H6" s="37">
        <v>0</v>
      </c>
      <c r="I6" s="37">
        <v>0</v>
      </c>
      <c r="J6" s="37">
        <v>0</v>
      </c>
      <c r="K6" s="37">
        <v>0</v>
      </c>
      <c r="M6" s="40">
        <f t="shared" si="0"/>
        <v>0</v>
      </c>
      <c r="O6" s="40">
        <f t="shared" si="1"/>
        <v>13000</v>
      </c>
    </row>
    <row r="8" spans="3:15" x14ac:dyDescent="0.3">
      <c r="C8" s="24" t="s">
        <v>231</v>
      </c>
      <c r="D8" s="2" t="s">
        <v>416</v>
      </c>
    </row>
    <row r="9" spans="3:15" x14ac:dyDescent="0.3">
      <c r="D9" s="2" t="s">
        <v>357</v>
      </c>
    </row>
    <row r="10" spans="3:15" x14ac:dyDescent="0.3">
      <c r="D10" s="2" t="s">
        <v>343</v>
      </c>
    </row>
    <row r="11" spans="3:15" x14ac:dyDescent="0.3">
      <c r="I11" s="2" t="s">
        <v>345</v>
      </c>
    </row>
    <row r="12" spans="3:15" x14ac:dyDescent="0.3">
      <c r="I12" s="33" t="s">
        <v>325</v>
      </c>
      <c r="J12" s="33" t="s">
        <v>219</v>
      </c>
      <c r="K12" s="33" t="s">
        <v>338</v>
      </c>
      <c r="L12" s="33" t="s">
        <v>339</v>
      </c>
      <c r="M12" s="35" t="s">
        <v>327</v>
      </c>
    </row>
    <row r="13" spans="3:15" x14ac:dyDescent="0.3">
      <c r="D13" s="2" t="s">
        <v>414</v>
      </c>
      <c r="H13" t="s">
        <v>86</v>
      </c>
      <c r="I13" s="46" t="s">
        <v>328</v>
      </c>
      <c r="J13" s="45">
        <v>20</v>
      </c>
      <c r="K13" s="45">
        <v>500</v>
      </c>
      <c r="L13" s="45">
        <f t="shared" ref="L13:L22" si="2">J13*K13</f>
        <v>10000</v>
      </c>
      <c r="M13">
        <f>SUM(L13:L13)</f>
        <v>10000</v>
      </c>
    </row>
    <row r="14" spans="3:15" x14ac:dyDescent="0.3">
      <c r="D14" s="33" t="s">
        <v>395</v>
      </c>
      <c r="E14" s="35" t="s">
        <v>396</v>
      </c>
      <c r="F14" s="33" t="s">
        <v>399</v>
      </c>
      <c r="H14" s="1" t="s">
        <v>348</v>
      </c>
      <c r="I14" s="46" t="s">
        <v>329</v>
      </c>
      <c r="J14" s="45">
        <v>0</v>
      </c>
      <c r="K14" s="45">
        <v>0</v>
      </c>
      <c r="L14" s="45">
        <f t="shared" si="2"/>
        <v>0</v>
      </c>
      <c r="M14" s="40">
        <f>SUM(L14:L22)</f>
        <v>0</v>
      </c>
    </row>
    <row r="15" spans="3:15" x14ac:dyDescent="0.3">
      <c r="D15" t="s">
        <v>394</v>
      </c>
      <c r="E15" s="40">
        <v>1</v>
      </c>
      <c r="I15" s="46" t="s">
        <v>330</v>
      </c>
      <c r="J15" s="45">
        <v>0</v>
      </c>
      <c r="K15" s="45">
        <v>0</v>
      </c>
      <c r="L15" s="45">
        <f t="shared" si="2"/>
        <v>0</v>
      </c>
    </row>
    <row r="16" spans="3:15" x14ac:dyDescent="0.3">
      <c r="D16" t="s">
        <v>397</v>
      </c>
      <c r="E16" s="40">
        <v>2</v>
      </c>
      <c r="I16" s="46" t="s">
        <v>331</v>
      </c>
      <c r="J16" s="45">
        <v>0</v>
      </c>
      <c r="K16" s="45">
        <v>0</v>
      </c>
      <c r="L16" s="45">
        <f t="shared" si="2"/>
        <v>0</v>
      </c>
    </row>
    <row r="17" spans="4:16" x14ac:dyDescent="0.3">
      <c r="D17" t="s">
        <v>398</v>
      </c>
      <c r="E17" s="40">
        <v>3</v>
      </c>
      <c r="I17" s="46" t="s">
        <v>332</v>
      </c>
      <c r="J17" s="45">
        <v>0</v>
      </c>
      <c r="K17" s="45">
        <v>0</v>
      </c>
      <c r="L17" s="45">
        <f t="shared" si="2"/>
        <v>0</v>
      </c>
    </row>
    <row r="18" spans="4:16" x14ac:dyDescent="0.3">
      <c r="D18" t="s">
        <v>400</v>
      </c>
      <c r="E18" s="40">
        <v>4</v>
      </c>
      <c r="F18" t="s">
        <v>411</v>
      </c>
      <c r="I18" s="46" t="s">
        <v>333</v>
      </c>
      <c r="J18" s="45">
        <v>0</v>
      </c>
      <c r="K18" s="45">
        <v>0</v>
      </c>
      <c r="L18" s="45">
        <f t="shared" si="2"/>
        <v>0</v>
      </c>
    </row>
    <row r="19" spans="4:16" x14ac:dyDescent="0.3">
      <c r="D19" t="s">
        <v>401</v>
      </c>
      <c r="E19" s="40">
        <v>5</v>
      </c>
      <c r="F19" t="s">
        <v>408</v>
      </c>
      <c r="I19" s="46" t="s">
        <v>334</v>
      </c>
      <c r="J19" s="45">
        <v>0</v>
      </c>
      <c r="K19" s="45">
        <v>0</v>
      </c>
      <c r="L19" s="45">
        <f t="shared" si="2"/>
        <v>0</v>
      </c>
    </row>
    <row r="20" spans="4:16" x14ac:dyDescent="0.3">
      <c r="D20" t="s">
        <v>402</v>
      </c>
      <c r="E20" s="40">
        <v>6</v>
      </c>
      <c r="F20" t="s">
        <v>410</v>
      </c>
      <c r="I20" s="46" t="s">
        <v>335</v>
      </c>
      <c r="J20" s="45">
        <v>0</v>
      </c>
      <c r="K20" s="45">
        <v>0</v>
      </c>
      <c r="L20" s="45">
        <f t="shared" si="2"/>
        <v>0</v>
      </c>
    </row>
    <row r="21" spans="4:16" x14ac:dyDescent="0.3">
      <c r="D21" t="s">
        <v>403</v>
      </c>
      <c r="E21" s="40">
        <v>7</v>
      </c>
      <c r="F21" t="s">
        <v>409</v>
      </c>
      <c r="I21" s="46" t="s">
        <v>336</v>
      </c>
      <c r="J21" s="45">
        <v>0</v>
      </c>
      <c r="K21" s="45">
        <v>0</v>
      </c>
      <c r="L21" s="45">
        <f t="shared" si="2"/>
        <v>0</v>
      </c>
    </row>
    <row r="22" spans="4:16" x14ac:dyDescent="0.3">
      <c r="D22" t="s">
        <v>404</v>
      </c>
      <c r="E22" s="40">
        <v>8</v>
      </c>
      <c r="I22" s="46" t="s">
        <v>337</v>
      </c>
      <c r="J22" s="45">
        <v>0</v>
      </c>
      <c r="K22" s="45">
        <v>0</v>
      </c>
      <c r="L22" s="45">
        <f t="shared" si="2"/>
        <v>0</v>
      </c>
    </row>
    <row r="23" spans="4:16" x14ac:dyDescent="0.3">
      <c r="D23" t="s">
        <v>413</v>
      </c>
      <c r="E23" s="40">
        <v>9</v>
      </c>
    </row>
    <row r="24" spans="4:16" x14ac:dyDescent="0.3">
      <c r="D24" t="s">
        <v>406</v>
      </c>
      <c r="E24" s="43" t="s">
        <v>407</v>
      </c>
      <c r="I24" s="2" t="s">
        <v>355</v>
      </c>
    </row>
    <row r="25" spans="4:16" x14ac:dyDescent="0.3">
      <c r="I25" s="33" t="s">
        <v>220</v>
      </c>
      <c r="J25" s="33" t="s">
        <v>14</v>
      </c>
      <c r="K25" s="38" t="s">
        <v>36</v>
      </c>
      <c r="L25" s="38" t="s">
        <v>224</v>
      </c>
      <c r="M25" s="38" t="s">
        <v>87</v>
      </c>
      <c r="N25" s="38" t="s">
        <v>219</v>
      </c>
      <c r="O25" s="38" t="s">
        <v>347</v>
      </c>
      <c r="P25" s="39" t="s">
        <v>326</v>
      </c>
    </row>
    <row r="26" spans="4:16" x14ac:dyDescent="0.3">
      <c r="H26" t="s">
        <v>86</v>
      </c>
      <c r="I26" s="46" t="s">
        <v>346</v>
      </c>
      <c r="J26" s="45">
        <v>20</v>
      </c>
      <c r="K26" s="45">
        <v>0</v>
      </c>
      <c r="L26" s="45">
        <v>1.5</v>
      </c>
      <c r="M26" s="34">
        <v>1</v>
      </c>
      <c r="N26" s="45">
        <v>5</v>
      </c>
      <c r="O26" s="45">
        <f>N26 * J26*3900*(1.6)^(K26)*M26/L26</f>
        <v>260000</v>
      </c>
      <c r="P26">
        <f>SUM(O26:O26)</f>
        <v>260000</v>
      </c>
    </row>
    <row r="27" spans="4:16" x14ac:dyDescent="0.3">
      <c r="H27" s="1" t="s">
        <v>349</v>
      </c>
      <c r="I27" s="46" t="s">
        <v>350</v>
      </c>
      <c r="J27" s="45">
        <v>0</v>
      </c>
      <c r="K27" s="45">
        <v>0</v>
      </c>
      <c r="L27" s="45">
        <v>1</v>
      </c>
      <c r="M27" s="34">
        <v>1</v>
      </c>
      <c r="N27" s="45">
        <v>0</v>
      </c>
      <c r="O27" s="45">
        <f t="shared" ref="O27:O29" si="3">N27 * J27*3900*(1.6)^(K27)*M27/L27</f>
        <v>0</v>
      </c>
      <c r="P27" s="40">
        <f>SUM(O27:O32)</f>
        <v>0</v>
      </c>
    </row>
    <row r="28" spans="4:16" x14ac:dyDescent="0.3">
      <c r="I28" s="46" t="s">
        <v>351</v>
      </c>
      <c r="J28" s="45">
        <v>0</v>
      </c>
      <c r="K28" s="45">
        <v>0</v>
      </c>
      <c r="L28" s="45">
        <v>1</v>
      </c>
      <c r="M28" s="34">
        <v>1</v>
      </c>
      <c r="N28" s="45">
        <v>0</v>
      </c>
      <c r="O28" s="45">
        <f t="shared" si="3"/>
        <v>0</v>
      </c>
    </row>
    <row r="29" spans="4:16" x14ac:dyDescent="0.3">
      <c r="I29" s="46" t="s">
        <v>352</v>
      </c>
      <c r="J29" s="45">
        <v>0</v>
      </c>
      <c r="K29" s="45">
        <v>0</v>
      </c>
      <c r="L29" s="45">
        <v>1</v>
      </c>
      <c r="M29" s="34">
        <v>1</v>
      </c>
      <c r="N29" s="45">
        <v>0</v>
      </c>
      <c r="O29" s="45">
        <f t="shared" si="3"/>
        <v>0</v>
      </c>
    </row>
    <row r="30" spans="4:16" x14ac:dyDescent="0.3">
      <c r="I30" s="46" t="s">
        <v>353</v>
      </c>
      <c r="J30" s="45">
        <v>0</v>
      </c>
      <c r="K30" s="45">
        <v>0</v>
      </c>
      <c r="L30" s="45">
        <v>1</v>
      </c>
      <c r="M30" s="34">
        <v>1</v>
      </c>
      <c r="N30" s="45">
        <v>0</v>
      </c>
      <c r="O30" s="45">
        <f t="shared" ref="O30:O31" si="4">N30 * J30*3900*(1.6)^(K30)*M30/L30</f>
        <v>0</v>
      </c>
    </row>
    <row r="31" spans="4:16" x14ac:dyDescent="0.3">
      <c r="I31" s="46" t="s">
        <v>354</v>
      </c>
      <c r="J31" s="45">
        <v>0</v>
      </c>
      <c r="K31" s="45">
        <v>0</v>
      </c>
      <c r="L31" s="45">
        <v>1</v>
      </c>
      <c r="M31" s="34">
        <v>1</v>
      </c>
      <c r="N31" s="45">
        <v>0</v>
      </c>
      <c r="O31" s="45">
        <f t="shared" si="4"/>
        <v>0</v>
      </c>
    </row>
    <row r="32" spans="4:16" x14ac:dyDescent="0.3">
      <c r="I32" s="46" t="s">
        <v>412</v>
      </c>
      <c r="J32" s="45">
        <v>0</v>
      </c>
      <c r="K32" s="45">
        <v>0</v>
      </c>
      <c r="L32" s="45">
        <v>1</v>
      </c>
      <c r="M32" s="34">
        <v>1</v>
      </c>
      <c r="N32" s="45">
        <v>0</v>
      </c>
      <c r="O32" s="45">
        <f t="shared" ref="O32" si="5">N32 * J32*3900*(1.6)^(K32)*M32/L32</f>
        <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34537-191E-473E-8F5E-E80A13E62C45}">
  <dimension ref="A1:W35"/>
  <sheetViews>
    <sheetView workbookViewId="0">
      <selection activeCell="K30" sqref="K30"/>
    </sheetView>
  </sheetViews>
  <sheetFormatPr defaultRowHeight="14" x14ac:dyDescent="0.3"/>
  <cols>
    <col min="1" max="1" width="4.4140625" customWidth="1"/>
    <col min="2" max="2" width="8.75" customWidth="1"/>
    <col min="3" max="3" width="5.9140625" customWidth="1"/>
    <col min="4" max="4" width="8.25" customWidth="1"/>
    <col min="5" max="5" width="7.9140625" customWidth="1"/>
    <col min="6" max="6" width="8.25" customWidth="1"/>
    <col min="7" max="7" width="8.08203125" customWidth="1"/>
    <col min="8" max="8" width="8.58203125" customWidth="1"/>
    <col min="9" max="9" width="8.5" customWidth="1"/>
    <col min="10" max="10" width="13.08203125" customWidth="1"/>
    <col min="11" max="11" width="7.9140625" customWidth="1"/>
    <col min="12" max="12" width="11.6640625" customWidth="1"/>
    <col min="13" max="13" width="6.58203125" customWidth="1"/>
    <col min="14" max="14" width="12" customWidth="1"/>
    <col min="15" max="15" width="11.5" customWidth="1"/>
    <col min="18" max="18" width="10.6640625" customWidth="1"/>
    <col min="19" max="19" width="9.9140625" customWidth="1"/>
    <col min="22" max="22" width="10" customWidth="1"/>
  </cols>
  <sheetData>
    <row r="1" spans="1:23" x14ac:dyDescent="0.3">
      <c r="N1" t="s">
        <v>463</v>
      </c>
    </row>
    <row r="2" spans="1:23" x14ac:dyDescent="0.3">
      <c r="C2" s="33" t="s">
        <v>395</v>
      </c>
      <c r="D2" s="33" t="s">
        <v>417</v>
      </c>
      <c r="E2" s="33" t="s">
        <v>460</v>
      </c>
      <c r="F2" s="33" t="s">
        <v>441</v>
      </c>
      <c r="G2" s="33" t="s">
        <v>442</v>
      </c>
      <c r="H2" s="33" t="s">
        <v>444</v>
      </c>
      <c r="I2" s="33" t="s">
        <v>440</v>
      </c>
      <c r="J2" s="33" t="s">
        <v>443</v>
      </c>
      <c r="K2" s="33" t="s">
        <v>503</v>
      </c>
      <c r="L2" s="33" t="s">
        <v>439</v>
      </c>
      <c r="N2" s="35" t="s">
        <v>448</v>
      </c>
      <c r="O2" s="35" t="s">
        <v>447</v>
      </c>
      <c r="P2" s="35" t="s">
        <v>449</v>
      </c>
      <c r="Q2" s="35" t="s">
        <v>446</v>
      </c>
      <c r="R2" s="35" t="s">
        <v>451</v>
      </c>
      <c r="S2" s="35" t="s">
        <v>450</v>
      </c>
      <c r="T2" s="35" t="s">
        <v>452</v>
      </c>
      <c r="U2" s="35" t="s">
        <v>453</v>
      </c>
      <c r="V2" s="35" t="s">
        <v>81</v>
      </c>
      <c r="W2" s="35" t="s">
        <v>462</v>
      </c>
    </row>
    <row r="3" spans="1:23" x14ac:dyDescent="0.3">
      <c r="B3" t="s">
        <v>464</v>
      </c>
      <c r="C3" s="34">
        <v>1</v>
      </c>
      <c r="D3" s="27">
        <v>1.5</v>
      </c>
      <c r="E3" s="27">
        <v>0.8</v>
      </c>
      <c r="F3" s="27">
        <v>3</v>
      </c>
      <c r="G3" s="27">
        <v>1</v>
      </c>
      <c r="H3" s="27">
        <v>1</v>
      </c>
      <c r="I3" s="27">
        <v>1</v>
      </c>
      <c r="J3" s="27">
        <v>0.8</v>
      </c>
      <c r="K3" s="27">
        <v>1</v>
      </c>
      <c r="L3" s="27">
        <v>1.3</v>
      </c>
      <c r="N3" s="49">
        <f t="shared" ref="N3:N8" si="0">5+C3*D3*9*1.25^(1-E3)*J3/(G3*SQRT(H3)*1.2^(F3-3)*1.1^(I3-2)*SQRT(E3))</f>
        <v>18.888439450165926</v>
      </c>
      <c r="O3" s="49">
        <f t="shared" ref="O3:O8" si="1">40+(50+C3*D3*23)*SQRT(E3)*1.25^(1-E3)*J3/(G3*SQRT(H3)*1.2^(F3-3)*1.1^(I3-2))</f>
        <v>109.54507458009012</v>
      </c>
      <c r="P3" s="49">
        <f>MAX(200*(D3-2)+C3*D3*293*1.3^(1-E3)/(1.2^(I3-2)*SQRT(E3)*J3*SQRT(L3)),50)*(IF(AND(K3&gt;3,D3&lt;9),1-K3/50,1))*(IF(AND(K3&lt;5,D3&gt;12),1+1/K3,1))</f>
        <v>581.27450879982621</v>
      </c>
      <c r="Q3" s="49">
        <f>MAX(180*(D3-2)+C3*D3*900*SQRT(E3)*1.3^(1-E3)/(1.2^(I3-2)*J3*SQRT(L3)),100)*(IF(AND(K3&gt;3,D3&lt;9),1-K3/50,1))*(IF(AND(K3&lt;5,D3&gt;12),1+1/K3,1))</f>
        <v>1584.1216598494022</v>
      </c>
      <c r="R3" s="49">
        <f t="shared" ref="R3:R8" si="2">30/SQRT(E3)+(50+C3*D3)*L3/(J3*SQRT(E3))+30*(L3-1)</f>
        <v>136.10648909600368</v>
      </c>
      <c r="S3" s="49">
        <f t="shared" ref="S3:S8" si="3">210+(190+C3*D3)*L3*SQRT(E3)/(J3*1.1^(I3-2))</f>
        <v>516.16801764921502</v>
      </c>
      <c r="T3" s="49">
        <f t="shared" ref="T3:T8" si="4">C3^1.15*D3^1.2*12*1.25^(1-E3)/(SQRT(E3))*IF(D3&gt;17,1.2^(D3-15),1)</f>
        <v>22.820637166202172</v>
      </c>
      <c r="U3" s="49">
        <f t="shared" ref="U3:U8" si="5">95+C3^1*D3^1.58*33*1.25^(1-E3)*SQRT(E3)/1+IF(C3&gt;=6,C3*200,0)</f>
        <v>153.56863807482276</v>
      </c>
      <c r="V3" s="49">
        <f t="shared" ref="V3:V8" si="6">_xlfn.FLOOR.MATH(2*C3^1.3*D3^1.3+IF(D3&gt;2,D3*10,0)+IF(D3&gt;8,C3^0.5*D3^0.7)+IF(D3&gt;16,C3^1.2*(D3-15)^2.5,0))*500</f>
        <v>1500</v>
      </c>
      <c r="W3" s="49">
        <f>_xlfn.FLOOR.MATH(V3/700)*20</f>
        <v>40</v>
      </c>
    </row>
    <row r="4" spans="1:23" x14ac:dyDescent="0.3">
      <c r="B4" t="s">
        <v>479</v>
      </c>
      <c r="C4" s="34">
        <v>1</v>
      </c>
      <c r="D4" s="27">
        <v>13</v>
      </c>
      <c r="E4" s="27">
        <v>0.9</v>
      </c>
      <c r="F4" s="27">
        <v>2</v>
      </c>
      <c r="G4" s="27">
        <v>1.7</v>
      </c>
      <c r="H4" s="27">
        <v>2</v>
      </c>
      <c r="I4" s="27">
        <v>1</v>
      </c>
      <c r="J4" s="27">
        <v>1.1000000000000001</v>
      </c>
      <c r="K4" s="27">
        <v>3</v>
      </c>
      <c r="L4" s="27">
        <v>3</v>
      </c>
      <c r="N4" s="49">
        <f t="shared" si="0"/>
        <v>81.165501413354804</v>
      </c>
      <c r="O4" s="49">
        <f t="shared" si="1"/>
        <v>244.47507687123712</v>
      </c>
      <c r="P4" s="49">
        <f t="shared" ref="P4:P8" si="7">MAX(200*(D4-2)+C4*D4*293*1.3^(1-E4)/(1.2^(I4-2)*SQRT(E4)*J4*SQRT(L4)),50)*(IF(AND(K4&gt;3,D4&lt;9),1-K4/50,1))*(IF(AND(K4&lt;5,D4&gt;12),1+1/K4,1))</f>
        <v>6394.7248368899818</v>
      </c>
      <c r="Q4" s="49">
        <f t="shared" ref="Q4:Q7" si="8">MAX(180*(D4-2)+C4*D4*900*SQRT(E4)*1.3^(1-E4)/(1.2^(I4-2)*J4*SQRT(L4)),100)*(IF(AND(K4&gt;3,D4&lt;9),1-K4/50,1))*(IF(AND(K4&lt;5,D4&gt;12),1+1/K4,1))</f>
        <v>12209.034532016676</v>
      </c>
      <c r="R4" s="49">
        <f t="shared" si="2"/>
        <v>272.73504259314552</v>
      </c>
      <c r="S4" s="49">
        <f t="shared" si="3"/>
        <v>787.74812851276283</v>
      </c>
      <c r="T4" s="49">
        <f t="shared" si="4"/>
        <v>280.8555532243625</v>
      </c>
      <c r="U4" s="49">
        <f t="shared" si="5"/>
        <v>1937.2844760253267</v>
      </c>
      <c r="V4" s="49">
        <f t="shared" si="6"/>
        <v>96000</v>
      </c>
      <c r="W4" s="49">
        <f t="shared" ref="W4:W8" si="9">_xlfn.FLOOR.MATH(V4/700)*20</f>
        <v>2740</v>
      </c>
    </row>
    <row r="5" spans="1:23" x14ac:dyDescent="0.3">
      <c r="B5" t="s">
        <v>466</v>
      </c>
      <c r="C5" s="34">
        <v>3</v>
      </c>
      <c r="D5" s="27">
        <v>13</v>
      </c>
      <c r="E5" s="27">
        <v>1.3</v>
      </c>
      <c r="F5" s="27">
        <v>4</v>
      </c>
      <c r="G5" s="27">
        <v>1.5</v>
      </c>
      <c r="H5" s="27">
        <v>3</v>
      </c>
      <c r="I5" s="27">
        <v>3</v>
      </c>
      <c r="J5" s="27">
        <v>0.9</v>
      </c>
      <c r="K5" s="27">
        <v>4</v>
      </c>
      <c r="L5" s="27">
        <v>2</v>
      </c>
      <c r="N5" s="49">
        <f t="shared" si="0"/>
        <v>80.557769388855888</v>
      </c>
      <c r="O5" s="49">
        <f t="shared" si="1"/>
        <v>305.01188004165385</v>
      </c>
      <c r="P5" s="49">
        <f t="shared" si="7"/>
        <v>10331.389426371348</v>
      </c>
      <c r="Q5" s="49">
        <f t="shared" si="8"/>
        <v>32748.807607011862</v>
      </c>
      <c r="R5" s="49">
        <f t="shared" si="2"/>
        <v>229.77432661993439</v>
      </c>
      <c r="S5" s="49">
        <f t="shared" si="3"/>
        <v>737.47509565192433</v>
      </c>
      <c r="T5" s="49">
        <f t="shared" si="4"/>
        <v>756.06308092998961</v>
      </c>
      <c r="U5" s="49">
        <f t="shared" si="5"/>
        <v>6170.2529291090304</v>
      </c>
      <c r="V5" s="49">
        <f t="shared" si="6"/>
        <v>187000</v>
      </c>
      <c r="W5" s="49">
        <f t="shared" si="9"/>
        <v>5340</v>
      </c>
    </row>
    <row r="6" spans="1:23" x14ac:dyDescent="0.3">
      <c r="B6" t="s">
        <v>468</v>
      </c>
      <c r="C6" s="34">
        <v>4</v>
      </c>
      <c r="D6" s="27">
        <v>4</v>
      </c>
      <c r="E6" s="27">
        <v>1.2</v>
      </c>
      <c r="F6" s="27">
        <v>3</v>
      </c>
      <c r="G6" s="27">
        <v>1</v>
      </c>
      <c r="H6" s="27">
        <v>3</v>
      </c>
      <c r="I6" s="27">
        <v>2</v>
      </c>
      <c r="J6" s="27">
        <v>2.2999999999999998</v>
      </c>
      <c r="K6" s="27">
        <v>3</v>
      </c>
      <c r="L6" s="27">
        <v>1.8</v>
      </c>
      <c r="N6" s="49">
        <f t="shared" si="0"/>
        <v>171.9387184223385</v>
      </c>
      <c r="O6" s="49">
        <f t="shared" si="1"/>
        <v>621.50320250447896</v>
      </c>
      <c r="P6" s="49">
        <f t="shared" si="7"/>
        <v>1715.9646431015246</v>
      </c>
      <c r="Q6" s="49">
        <f t="shared" si="8"/>
        <v>5210.6546571660292</v>
      </c>
      <c r="R6" s="49">
        <f t="shared" si="2"/>
        <v>98.537895869181312</v>
      </c>
      <c r="S6" s="49">
        <f t="shared" si="3"/>
        <v>386.60480375905706</v>
      </c>
      <c r="T6" s="49">
        <f t="shared" si="4"/>
        <v>272.30122809761059</v>
      </c>
      <c r="U6" s="49">
        <f t="shared" si="5"/>
        <v>1331.0536970509388</v>
      </c>
      <c r="V6" s="49">
        <f t="shared" si="6"/>
        <v>56500</v>
      </c>
      <c r="W6" s="49">
        <f t="shared" si="9"/>
        <v>1600</v>
      </c>
    </row>
    <row r="7" spans="1:23" x14ac:dyDescent="0.3">
      <c r="B7" t="s">
        <v>465</v>
      </c>
      <c r="C7" s="34">
        <v>5</v>
      </c>
      <c r="D7" s="27">
        <v>20</v>
      </c>
      <c r="E7" s="27">
        <v>1.5</v>
      </c>
      <c r="F7" s="27">
        <v>4</v>
      </c>
      <c r="G7" s="27">
        <v>1.2</v>
      </c>
      <c r="H7" s="27">
        <v>10</v>
      </c>
      <c r="I7" s="27">
        <v>3</v>
      </c>
      <c r="J7" s="27">
        <v>1</v>
      </c>
      <c r="K7" s="27">
        <v>5</v>
      </c>
      <c r="L7" s="27">
        <v>2</v>
      </c>
      <c r="N7" s="49">
        <f t="shared" si="0"/>
        <v>136.21597027036952</v>
      </c>
      <c r="O7" s="49">
        <f t="shared" si="1"/>
        <v>553.92921689228058</v>
      </c>
      <c r="P7" s="49">
        <f t="shared" si="7"/>
        <v>15963.859773146431</v>
      </c>
      <c r="Q7" s="49">
        <f t="shared" si="8"/>
        <v>60206.58939845625</v>
      </c>
      <c r="R7" s="49">
        <f t="shared" si="2"/>
        <v>299.44387170614959</v>
      </c>
      <c r="S7" s="49">
        <f t="shared" si="3"/>
        <v>855.77456855192861</v>
      </c>
      <c r="T7" s="49">
        <f t="shared" si="4"/>
        <v>5054.0361041989854</v>
      </c>
      <c r="U7" s="49">
        <f t="shared" si="5"/>
        <v>20639.802012802509</v>
      </c>
      <c r="V7" s="49">
        <f t="shared" si="6"/>
        <v>700000</v>
      </c>
      <c r="W7" s="49">
        <f t="shared" si="9"/>
        <v>20000</v>
      </c>
    </row>
    <row r="8" spans="1:23" x14ac:dyDescent="0.3">
      <c r="B8" s="1" t="s">
        <v>456</v>
      </c>
      <c r="C8" s="36">
        <v>1</v>
      </c>
      <c r="D8" s="37">
        <v>1</v>
      </c>
      <c r="E8" s="37">
        <v>1</v>
      </c>
      <c r="F8" s="37">
        <v>3</v>
      </c>
      <c r="G8" s="37">
        <v>2</v>
      </c>
      <c r="H8" s="37">
        <v>3</v>
      </c>
      <c r="I8" s="37">
        <v>2</v>
      </c>
      <c r="J8" s="37">
        <v>1</v>
      </c>
      <c r="K8" s="37">
        <v>1</v>
      </c>
      <c r="L8" s="37">
        <v>1</v>
      </c>
      <c r="N8" s="48">
        <f t="shared" si="0"/>
        <v>7.598076211353316</v>
      </c>
      <c r="O8" s="48">
        <f t="shared" si="1"/>
        <v>61.073284825421339</v>
      </c>
      <c r="P8" s="48">
        <f t="shared" si="7"/>
        <v>93</v>
      </c>
      <c r="Q8" s="48">
        <f>MAX(180*(D8-2)+C8*D8*900*SQRT(E8)*1.3^(1-E8)/(1.2^(I8-2)*J8*SQRT(L8)),100)*(IF(AND(K8&gt;3,D8&lt;9),1-K8/50,1))*(IF(AND(K8&lt;5,D8&gt;12),1+1/K8,1))</f>
        <v>720</v>
      </c>
      <c r="R8" s="48">
        <f t="shared" si="2"/>
        <v>81</v>
      </c>
      <c r="S8" s="48">
        <f t="shared" si="3"/>
        <v>401</v>
      </c>
      <c r="T8" s="48">
        <f t="shared" si="4"/>
        <v>12</v>
      </c>
      <c r="U8" s="48">
        <f t="shared" si="5"/>
        <v>128</v>
      </c>
      <c r="V8" s="48">
        <f t="shared" si="6"/>
        <v>1000</v>
      </c>
      <c r="W8" s="48">
        <f t="shared" si="9"/>
        <v>20</v>
      </c>
    </row>
    <row r="10" spans="1:23" x14ac:dyDescent="0.3">
      <c r="A10" s="2" t="s">
        <v>467</v>
      </c>
      <c r="C10" s="24" t="s">
        <v>231</v>
      </c>
      <c r="D10" s="2" t="s">
        <v>504</v>
      </c>
    </row>
    <row r="11" spans="1:23" x14ac:dyDescent="0.3">
      <c r="A11" s="6" t="s">
        <v>146</v>
      </c>
      <c r="B11" s="6"/>
      <c r="C11" s="24"/>
      <c r="D11" s="2" t="s">
        <v>461</v>
      </c>
    </row>
    <row r="12" spans="1:23" x14ac:dyDescent="0.3">
      <c r="A12" s="15" t="s">
        <v>145</v>
      </c>
      <c r="B12" s="15"/>
      <c r="D12" s="2" t="s">
        <v>475</v>
      </c>
    </row>
    <row r="13" spans="1:23" x14ac:dyDescent="0.3">
      <c r="D13" s="2" t="s">
        <v>474</v>
      </c>
    </row>
    <row r="14" spans="1:23" x14ac:dyDescent="0.3">
      <c r="D14" s="2" t="s">
        <v>527</v>
      </c>
    </row>
    <row r="15" spans="1:23" x14ac:dyDescent="0.3">
      <c r="D15" s="2" t="s">
        <v>454</v>
      </c>
    </row>
    <row r="16" spans="1:23" x14ac:dyDescent="0.3">
      <c r="D16" s="2" t="s">
        <v>445</v>
      </c>
    </row>
    <row r="17" spans="2:12" x14ac:dyDescent="0.3">
      <c r="D17" s="2" t="s">
        <v>473</v>
      </c>
    </row>
    <row r="18" spans="2:12" x14ac:dyDescent="0.3">
      <c r="D18" s="2"/>
    </row>
    <row r="19" spans="2:12" x14ac:dyDescent="0.3">
      <c r="B19" s="2" t="s">
        <v>395</v>
      </c>
      <c r="J19" s="2" t="s">
        <v>417</v>
      </c>
    </row>
    <row r="20" spans="2:12" x14ac:dyDescent="0.3">
      <c r="B20" s="33" t="s">
        <v>395</v>
      </c>
      <c r="C20" s="35" t="s">
        <v>396</v>
      </c>
      <c r="D20" s="33" t="s">
        <v>399</v>
      </c>
      <c r="J20" s="33" t="s">
        <v>418</v>
      </c>
      <c r="K20" s="35" t="s">
        <v>396</v>
      </c>
      <c r="L20" s="33" t="s">
        <v>429</v>
      </c>
    </row>
    <row r="21" spans="2:12" x14ac:dyDescent="0.3">
      <c r="B21" t="s">
        <v>394</v>
      </c>
      <c r="C21" s="40">
        <v>1</v>
      </c>
      <c r="J21" t="s">
        <v>419</v>
      </c>
      <c r="K21" s="40">
        <v>1</v>
      </c>
      <c r="L21" t="s">
        <v>431</v>
      </c>
    </row>
    <row r="22" spans="2:12" x14ac:dyDescent="0.3">
      <c r="B22" t="s">
        <v>397</v>
      </c>
      <c r="C22" s="40">
        <v>2</v>
      </c>
      <c r="J22" t="s">
        <v>420</v>
      </c>
      <c r="K22" s="40">
        <v>1.5</v>
      </c>
      <c r="L22" t="s">
        <v>457</v>
      </c>
    </row>
    <row r="23" spans="2:12" x14ac:dyDescent="0.3">
      <c r="B23" t="s">
        <v>398</v>
      </c>
      <c r="C23" s="40">
        <v>3</v>
      </c>
      <c r="J23" t="s">
        <v>421</v>
      </c>
      <c r="K23" s="40">
        <v>2</v>
      </c>
      <c r="L23" t="s">
        <v>432</v>
      </c>
    </row>
    <row r="24" spans="2:12" x14ac:dyDescent="0.3">
      <c r="B24" t="s">
        <v>400</v>
      </c>
      <c r="C24" s="40">
        <v>4</v>
      </c>
      <c r="D24" t="s">
        <v>411</v>
      </c>
      <c r="J24" t="s">
        <v>422</v>
      </c>
      <c r="K24" s="44" t="s">
        <v>470</v>
      </c>
      <c r="L24" t="s">
        <v>469</v>
      </c>
    </row>
    <row r="25" spans="2:12" x14ac:dyDescent="0.3">
      <c r="B25" t="s">
        <v>401</v>
      </c>
      <c r="C25" s="40">
        <v>5</v>
      </c>
      <c r="D25" t="s">
        <v>408</v>
      </c>
      <c r="J25" t="s">
        <v>423</v>
      </c>
      <c r="K25" s="44" t="s">
        <v>471</v>
      </c>
      <c r="L25" t="s">
        <v>433</v>
      </c>
    </row>
    <row r="26" spans="2:12" x14ac:dyDescent="0.3">
      <c r="B26" t="s">
        <v>402</v>
      </c>
      <c r="C26" s="40">
        <v>6</v>
      </c>
      <c r="D26" t="s">
        <v>410</v>
      </c>
      <c r="G26" s="2" t="s">
        <v>503</v>
      </c>
      <c r="J26" t="s">
        <v>424</v>
      </c>
      <c r="K26" s="44" t="s">
        <v>472</v>
      </c>
      <c r="L26" t="s">
        <v>434</v>
      </c>
    </row>
    <row r="27" spans="2:12" x14ac:dyDescent="0.3">
      <c r="B27" t="s">
        <v>403</v>
      </c>
      <c r="C27" s="40">
        <v>7</v>
      </c>
      <c r="D27" t="s">
        <v>409</v>
      </c>
      <c r="G27" s="33" t="s">
        <v>395</v>
      </c>
      <c r="H27" s="35" t="s">
        <v>396</v>
      </c>
      <c r="J27" t="s">
        <v>425</v>
      </c>
      <c r="K27" s="40">
        <v>9</v>
      </c>
      <c r="L27" t="s">
        <v>437</v>
      </c>
    </row>
    <row r="28" spans="2:12" x14ac:dyDescent="0.3">
      <c r="B28" t="s">
        <v>404</v>
      </c>
      <c r="C28" s="40">
        <v>8</v>
      </c>
      <c r="G28" s="42" t="s">
        <v>481</v>
      </c>
      <c r="H28" s="40">
        <v>1</v>
      </c>
      <c r="J28" t="s">
        <v>426</v>
      </c>
      <c r="K28" s="40">
        <v>13</v>
      </c>
      <c r="L28" t="s">
        <v>438</v>
      </c>
    </row>
    <row r="29" spans="2:12" x14ac:dyDescent="0.3">
      <c r="B29" t="s">
        <v>405</v>
      </c>
      <c r="C29" s="40">
        <v>9</v>
      </c>
      <c r="G29" s="42" t="s">
        <v>480</v>
      </c>
      <c r="H29" s="40">
        <v>2</v>
      </c>
      <c r="J29" t="s">
        <v>427</v>
      </c>
      <c r="K29" s="40">
        <v>16</v>
      </c>
      <c r="L29" t="s">
        <v>455</v>
      </c>
    </row>
    <row r="30" spans="2:12" x14ac:dyDescent="0.3">
      <c r="B30" t="s">
        <v>406</v>
      </c>
      <c r="C30" s="44" t="s">
        <v>407</v>
      </c>
      <c r="G30" s="42" t="s">
        <v>482</v>
      </c>
      <c r="H30" s="40">
        <v>3</v>
      </c>
      <c r="J30" t="s">
        <v>428</v>
      </c>
      <c r="K30" s="44" t="s">
        <v>528</v>
      </c>
      <c r="L30" t="s">
        <v>436</v>
      </c>
    </row>
    <row r="31" spans="2:12" x14ac:dyDescent="0.3">
      <c r="G31" s="42" t="s">
        <v>483</v>
      </c>
      <c r="H31" s="40">
        <v>4</v>
      </c>
    </row>
    <row r="32" spans="2:12" x14ac:dyDescent="0.3">
      <c r="B32" t="s">
        <v>458</v>
      </c>
      <c r="C32" s="47" t="s">
        <v>459</v>
      </c>
      <c r="D32" s="44"/>
      <c r="G32" s="42" t="s">
        <v>484</v>
      </c>
      <c r="H32" s="40">
        <v>5</v>
      </c>
      <c r="J32" s="24" t="s">
        <v>502</v>
      </c>
      <c r="K32" s="2" t="s">
        <v>435</v>
      </c>
    </row>
    <row r="33" spans="7:11" x14ac:dyDescent="0.3">
      <c r="K33" s="2" t="s">
        <v>430</v>
      </c>
    </row>
    <row r="34" spans="7:11" x14ac:dyDescent="0.3">
      <c r="G34" s="24" t="s">
        <v>505</v>
      </c>
      <c r="H34" s="2" t="s">
        <v>506</v>
      </c>
    </row>
    <row r="35" spans="7:11" x14ac:dyDescent="0.3">
      <c r="G35" s="2"/>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C8B51-325B-42E3-9CC1-E285AF84FF2C}">
  <dimension ref="A1:AC28"/>
  <sheetViews>
    <sheetView workbookViewId="0">
      <selection activeCell="N32" sqref="N32"/>
    </sheetView>
  </sheetViews>
  <sheetFormatPr defaultRowHeight="14" x14ac:dyDescent="0.3"/>
  <cols>
    <col min="1" max="1" width="13.08203125" customWidth="1"/>
    <col min="2" max="2" width="6.6640625" customWidth="1"/>
    <col min="3" max="3" width="11.5" customWidth="1"/>
    <col min="6" max="6" width="11.75" customWidth="1"/>
    <col min="7" max="7" width="10.25" customWidth="1"/>
    <col min="9" max="9" width="6.4140625" customWidth="1"/>
    <col min="10" max="10" width="7.1640625" customWidth="1"/>
    <col min="11" max="11" width="7.08203125" customWidth="1"/>
    <col min="12" max="12" width="7.4140625" customWidth="1"/>
    <col min="21" max="21" width="11.25" customWidth="1"/>
    <col min="24" max="24" width="9.5" customWidth="1"/>
  </cols>
  <sheetData>
    <row r="1" spans="1:29" x14ac:dyDescent="0.3">
      <c r="A1" t="s">
        <v>555</v>
      </c>
      <c r="G1" t="s">
        <v>556</v>
      </c>
      <c r="H1" t="s">
        <v>579</v>
      </c>
      <c r="N1" t="s">
        <v>566</v>
      </c>
      <c r="Q1" t="s">
        <v>566</v>
      </c>
      <c r="R1" t="s">
        <v>562</v>
      </c>
      <c r="T1" s="1" t="s">
        <v>549</v>
      </c>
      <c r="Y1" t="s">
        <v>585</v>
      </c>
    </row>
    <row r="2" spans="1:29" x14ac:dyDescent="0.3">
      <c r="D2" t="s">
        <v>545</v>
      </c>
      <c r="E2" t="s">
        <v>519</v>
      </c>
      <c r="F2" t="s">
        <v>520</v>
      </c>
      <c r="G2" t="s">
        <v>594</v>
      </c>
      <c r="H2" t="s">
        <v>563</v>
      </c>
      <c r="I2" t="s">
        <v>550</v>
      </c>
      <c r="J2" t="s">
        <v>551</v>
      </c>
      <c r="K2" t="s">
        <v>557</v>
      </c>
      <c r="L2" t="s">
        <v>558</v>
      </c>
      <c r="M2" t="s">
        <v>559</v>
      </c>
      <c r="N2" t="s">
        <v>565</v>
      </c>
      <c r="O2" t="s">
        <v>560</v>
      </c>
      <c r="P2" t="s">
        <v>561</v>
      </c>
      <c r="Q2" t="s">
        <v>589</v>
      </c>
      <c r="R2" t="s">
        <v>564</v>
      </c>
      <c r="T2" t="s">
        <v>548</v>
      </c>
      <c r="U2" t="s">
        <v>546</v>
      </c>
      <c r="V2" t="s">
        <v>547</v>
      </c>
      <c r="Y2" t="s">
        <v>580</v>
      </c>
      <c r="Z2" t="s">
        <v>581</v>
      </c>
      <c r="AA2" t="s">
        <v>582</v>
      </c>
      <c r="AB2" t="s">
        <v>583</v>
      </c>
      <c r="AC2" t="s">
        <v>593</v>
      </c>
    </row>
    <row r="3" spans="1:29" x14ac:dyDescent="0.3">
      <c r="C3" t="s">
        <v>544</v>
      </c>
      <c r="D3">
        <v>1</v>
      </c>
      <c r="E3">
        <v>150</v>
      </c>
      <c r="F3">
        <v>0</v>
      </c>
      <c r="G3">
        <v>0</v>
      </c>
      <c r="H3">
        <v>0</v>
      </c>
      <c r="I3">
        <v>0</v>
      </c>
      <c r="J3">
        <v>0</v>
      </c>
      <c r="K3">
        <v>0</v>
      </c>
      <c r="L3">
        <v>0</v>
      </c>
      <c r="M3">
        <v>0</v>
      </c>
      <c r="N3">
        <v>0</v>
      </c>
      <c r="O3">
        <v>0</v>
      </c>
      <c r="P3">
        <v>0</v>
      </c>
      <c r="Q3">
        <v>0</v>
      </c>
      <c r="R3">
        <v>0</v>
      </c>
      <c r="T3" s="50">
        <f>Y3 * (2^H3)/(2^((MIN(G3/30,10)+IF(G3&gt;10,5,0))/15))+Z3+AA3+AB3</f>
        <v>150</v>
      </c>
      <c r="U3" s="50">
        <f>100+D3*100</f>
        <v>200</v>
      </c>
      <c r="V3" s="50">
        <f>ROUND(AC3/50,0)*50</f>
        <v>100</v>
      </c>
      <c r="Y3" s="50">
        <f>(E3+F3)</f>
        <v>150</v>
      </c>
      <c r="Z3" s="50">
        <f t="shared" ref="Z3:Z9" si="0">I3*60</f>
        <v>0</v>
      </c>
      <c r="AA3" s="50">
        <f>J3^1.05*9.9</f>
        <v>0</v>
      </c>
      <c r="AB3" s="50">
        <f>(K3+L3+M3*2+N3*50+O3*3+Q3*50+P3*4)*(IF(R3&gt;0,0.1+R3/300,12))</f>
        <v>0</v>
      </c>
      <c r="AC3" s="50">
        <f>Y3 *2^(MIN(Y3,1500)/850)/(2^((MIN(G3/30,20)+IF(G3&gt;10,5,0))/25))/2 * (2^H3)+Z3*2+AA3*2^(MIN(AA3,3650)/850)/3+AB3*2^(MIN(AB3,3650)/2000)</f>
        <v>84.758683757199734</v>
      </c>
    </row>
    <row r="4" spans="1:29" x14ac:dyDescent="0.3">
      <c r="C4" t="s">
        <v>568</v>
      </c>
      <c r="D4">
        <v>1</v>
      </c>
      <c r="E4">
        <v>0</v>
      </c>
      <c r="F4">
        <v>100</v>
      </c>
      <c r="G4">
        <v>0</v>
      </c>
      <c r="H4">
        <v>0</v>
      </c>
      <c r="I4">
        <v>0</v>
      </c>
      <c r="J4">
        <v>0</v>
      </c>
      <c r="K4">
        <v>0</v>
      </c>
      <c r="L4">
        <v>0</v>
      </c>
      <c r="M4">
        <v>0</v>
      </c>
      <c r="N4">
        <v>0</v>
      </c>
      <c r="O4">
        <v>0</v>
      </c>
      <c r="P4">
        <v>0</v>
      </c>
      <c r="Q4">
        <v>0</v>
      </c>
      <c r="R4">
        <v>0</v>
      </c>
      <c r="T4" s="50">
        <f t="shared" ref="T4:T10" si="1">Y4 * (2^H4)/(2^((MIN(G4/30,10)+IF(G4&gt;10,5,0))/15))+Z4+AA4+AB4</f>
        <v>100</v>
      </c>
      <c r="U4" s="50">
        <f>100+D4*100</f>
        <v>200</v>
      </c>
      <c r="V4" s="50">
        <f t="shared" ref="V4:V10" si="2">ROUND(AC4/50,0)*50</f>
        <v>50</v>
      </c>
      <c r="Y4" s="50">
        <f t="shared" ref="Y4:Y10" si="3">(E4+F4)</f>
        <v>100</v>
      </c>
      <c r="Z4" s="50">
        <f t="shared" ref="Z4:Z10" si="4">I4*60</f>
        <v>0</v>
      </c>
      <c r="AA4" s="50">
        <f t="shared" ref="AA4:AA10" si="5">J4^1.05*9.9</f>
        <v>0</v>
      </c>
      <c r="AB4" s="50">
        <f t="shared" ref="AB4:AB10" si="6">(K4+L4+M4*2+N4*50+O4*3+Q4*50+P4*4)*(IF(R4&gt;0,0.1+R4/300,12))</f>
        <v>0</v>
      </c>
      <c r="AC4" s="50">
        <f t="shared" ref="AC4:AC10" si="7">Y4 *2^(MIN(Y4,1500)/850)/(2^((MIN(G4/30,20)+IF(G4&gt;10,5,0))/25))/2 * (2^H4)+Z4*2+AA4*2^(MIN(AA4,3650)/850)/3+AB4*2^(MIN(AB4,3650)/2000)</f>
        <v>54.248195682181851</v>
      </c>
    </row>
    <row r="5" spans="1:29" x14ac:dyDescent="0.3">
      <c r="A5" s="2" t="s">
        <v>144</v>
      </c>
      <c r="C5" t="s">
        <v>570</v>
      </c>
      <c r="D5">
        <v>25</v>
      </c>
      <c r="E5">
        <v>0</v>
      </c>
      <c r="F5">
        <v>0</v>
      </c>
      <c r="G5">
        <v>0</v>
      </c>
      <c r="H5">
        <v>0</v>
      </c>
      <c r="I5">
        <v>0</v>
      </c>
      <c r="J5">
        <v>200</v>
      </c>
      <c r="K5">
        <v>0</v>
      </c>
      <c r="L5">
        <v>0</v>
      </c>
      <c r="M5">
        <v>0</v>
      </c>
      <c r="N5">
        <v>0</v>
      </c>
      <c r="O5">
        <v>0</v>
      </c>
      <c r="P5">
        <v>0</v>
      </c>
      <c r="Q5">
        <v>0</v>
      </c>
      <c r="R5">
        <v>0</v>
      </c>
      <c r="T5" s="50">
        <f t="shared" si="1"/>
        <v>2580.5762147148657</v>
      </c>
      <c r="U5" s="50">
        <f>100+D5*100</f>
        <v>2600</v>
      </c>
      <c r="V5" s="50">
        <f t="shared" si="2"/>
        <v>7050</v>
      </c>
      <c r="Y5" s="50">
        <f t="shared" si="3"/>
        <v>0</v>
      </c>
      <c r="Z5" s="50">
        <f t="shared" si="4"/>
        <v>0</v>
      </c>
      <c r="AA5" s="50">
        <f t="shared" si="5"/>
        <v>2580.5762147148657</v>
      </c>
      <c r="AB5" s="50">
        <f t="shared" si="6"/>
        <v>0</v>
      </c>
      <c r="AC5" s="50">
        <f t="shared" si="7"/>
        <v>7055.2771478508666</v>
      </c>
    </row>
    <row r="6" spans="1:29" x14ac:dyDescent="0.3">
      <c r="A6" s="6" t="s">
        <v>553</v>
      </c>
      <c r="C6" t="s">
        <v>571</v>
      </c>
      <c r="D6">
        <v>30</v>
      </c>
      <c r="E6">
        <v>0</v>
      </c>
      <c r="F6">
        <v>0</v>
      </c>
      <c r="G6">
        <v>0</v>
      </c>
      <c r="H6">
        <v>0</v>
      </c>
      <c r="I6">
        <v>50</v>
      </c>
      <c r="J6">
        <v>0</v>
      </c>
      <c r="K6">
        <v>0</v>
      </c>
      <c r="L6">
        <v>0</v>
      </c>
      <c r="M6">
        <v>0</v>
      </c>
      <c r="N6">
        <v>0</v>
      </c>
      <c r="O6">
        <v>0</v>
      </c>
      <c r="P6">
        <v>0</v>
      </c>
      <c r="Q6">
        <v>0</v>
      </c>
      <c r="R6">
        <v>0</v>
      </c>
      <c r="T6" s="50">
        <f t="shared" si="1"/>
        <v>3000</v>
      </c>
      <c r="U6" s="50">
        <f>100+D6*100</f>
        <v>3100</v>
      </c>
      <c r="V6" s="50">
        <f t="shared" si="2"/>
        <v>6000</v>
      </c>
      <c r="Y6" s="50">
        <f t="shared" si="3"/>
        <v>0</v>
      </c>
      <c r="Z6" s="50">
        <f t="shared" si="4"/>
        <v>3000</v>
      </c>
      <c r="AA6" s="50">
        <f t="shared" si="5"/>
        <v>0</v>
      </c>
      <c r="AB6" s="50">
        <f t="shared" si="6"/>
        <v>0</v>
      </c>
      <c r="AC6" s="50">
        <f t="shared" si="7"/>
        <v>6000</v>
      </c>
    </row>
    <row r="7" spans="1:29" x14ac:dyDescent="0.3">
      <c r="A7" s="6" t="s">
        <v>554</v>
      </c>
      <c r="C7" t="s">
        <v>573</v>
      </c>
      <c r="D7">
        <v>35</v>
      </c>
      <c r="E7">
        <v>600</v>
      </c>
      <c r="F7">
        <v>0</v>
      </c>
      <c r="G7">
        <v>0</v>
      </c>
      <c r="H7">
        <v>0</v>
      </c>
      <c r="I7">
        <v>0</v>
      </c>
      <c r="J7">
        <v>0</v>
      </c>
      <c r="K7">
        <v>0</v>
      </c>
      <c r="L7">
        <v>0</v>
      </c>
      <c r="M7">
        <v>0</v>
      </c>
      <c r="N7">
        <v>50</v>
      </c>
      <c r="O7">
        <v>0</v>
      </c>
      <c r="P7">
        <v>0</v>
      </c>
      <c r="Q7">
        <v>0</v>
      </c>
      <c r="R7">
        <v>300</v>
      </c>
      <c r="T7" s="50">
        <f t="shared" si="1"/>
        <v>3350</v>
      </c>
      <c r="U7" s="50">
        <f>100+D7*100</f>
        <v>3600</v>
      </c>
      <c r="V7" s="50">
        <f t="shared" si="2"/>
        <v>7600</v>
      </c>
      <c r="Y7" s="50">
        <f t="shared" si="3"/>
        <v>600</v>
      </c>
      <c r="Z7" s="50">
        <f t="shared" si="4"/>
        <v>0</v>
      </c>
      <c r="AA7" s="50">
        <f t="shared" si="5"/>
        <v>0</v>
      </c>
      <c r="AB7" s="50">
        <f t="shared" si="6"/>
        <v>2750</v>
      </c>
      <c r="AC7" s="50">
        <f t="shared" si="7"/>
        <v>7621.9601406702186</v>
      </c>
    </row>
    <row r="8" spans="1:29" x14ac:dyDescent="0.3">
      <c r="A8" s="7" t="s">
        <v>552</v>
      </c>
      <c r="C8" t="s">
        <v>569</v>
      </c>
      <c r="D8">
        <v>30</v>
      </c>
      <c r="E8">
        <v>1500</v>
      </c>
      <c r="F8">
        <v>0</v>
      </c>
      <c r="G8">
        <v>0</v>
      </c>
      <c r="H8">
        <v>1</v>
      </c>
      <c r="I8">
        <v>0</v>
      </c>
      <c r="J8">
        <v>0</v>
      </c>
      <c r="K8">
        <v>0</v>
      </c>
      <c r="L8">
        <v>0</v>
      </c>
      <c r="M8">
        <v>0</v>
      </c>
      <c r="N8">
        <v>0</v>
      </c>
      <c r="O8">
        <v>0</v>
      </c>
      <c r="P8">
        <v>0</v>
      </c>
      <c r="Q8">
        <v>0</v>
      </c>
      <c r="R8">
        <v>0</v>
      </c>
      <c r="T8" s="50">
        <f t="shared" si="1"/>
        <v>3000</v>
      </c>
      <c r="U8" s="50">
        <f>100+D8*100</f>
        <v>3100</v>
      </c>
      <c r="V8" s="50">
        <f t="shared" si="2"/>
        <v>5100</v>
      </c>
      <c r="Y8" s="50">
        <f t="shared" si="3"/>
        <v>1500</v>
      </c>
      <c r="Z8" s="50">
        <f t="shared" si="4"/>
        <v>0</v>
      </c>
      <c r="AA8" s="50">
        <f t="shared" si="5"/>
        <v>0</v>
      </c>
      <c r="AB8" s="50">
        <f t="shared" si="6"/>
        <v>0</v>
      </c>
      <c r="AC8" s="50">
        <f t="shared" si="7"/>
        <v>5097.0707653062082</v>
      </c>
    </row>
    <row r="9" spans="1:29" x14ac:dyDescent="0.3">
      <c r="A9" s="7" t="s">
        <v>554</v>
      </c>
      <c r="T9" s="50"/>
      <c r="U9" s="50"/>
      <c r="V9" s="50"/>
      <c r="Y9" s="50"/>
      <c r="Z9" s="50"/>
      <c r="AA9" s="50"/>
      <c r="AB9" s="50"/>
      <c r="AC9" s="50"/>
    </row>
    <row r="10" spans="1:29" x14ac:dyDescent="0.3">
      <c r="A10" s="15" t="s">
        <v>145</v>
      </c>
      <c r="C10" s="1" t="s">
        <v>567</v>
      </c>
      <c r="D10" s="37">
        <v>30</v>
      </c>
      <c r="E10" s="37">
        <v>0</v>
      </c>
      <c r="F10" s="37">
        <v>0</v>
      </c>
      <c r="G10" s="37">
        <v>0</v>
      </c>
      <c r="H10" s="37">
        <v>0</v>
      </c>
      <c r="I10" s="37">
        <v>0</v>
      </c>
      <c r="J10" s="37">
        <v>0</v>
      </c>
      <c r="K10" s="53">
        <v>0</v>
      </c>
      <c r="L10" s="53">
        <v>0</v>
      </c>
      <c r="M10" s="53">
        <v>0</v>
      </c>
      <c r="N10" s="53">
        <v>0</v>
      </c>
      <c r="O10" s="53">
        <v>0</v>
      </c>
      <c r="P10" s="53">
        <v>0</v>
      </c>
      <c r="Q10" s="53">
        <v>0</v>
      </c>
      <c r="R10" s="53">
        <v>0</v>
      </c>
      <c r="T10" s="48">
        <f t="shared" si="1"/>
        <v>0</v>
      </c>
      <c r="U10" s="48">
        <f t="shared" ref="U9:U10" si="8">100+D10*100</f>
        <v>3100</v>
      </c>
      <c r="V10" s="48">
        <f t="shared" si="2"/>
        <v>0</v>
      </c>
      <c r="Y10" s="50">
        <f t="shared" si="3"/>
        <v>0</v>
      </c>
      <c r="Z10" s="50">
        <f t="shared" si="4"/>
        <v>0</v>
      </c>
      <c r="AA10" s="50">
        <f t="shared" si="5"/>
        <v>0</v>
      </c>
      <c r="AB10" s="50">
        <f t="shared" si="6"/>
        <v>0</v>
      </c>
      <c r="AC10" s="50">
        <f t="shared" si="7"/>
        <v>0</v>
      </c>
    </row>
    <row r="11" spans="1:29" x14ac:dyDescent="0.3">
      <c r="A11" s="15" t="s">
        <v>524</v>
      </c>
    </row>
    <row r="13" spans="1:29" x14ac:dyDescent="0.3">
      <c r="C13" t="s">
        <v>574</v>
      </c>
      <c r="D13" t="s">
        <v>575</v>
      </c>
    </row>
    <row r="14" spans="1:29" x14ac:dyDescent="0.3">
      <c r="D14" s="2" t="s">
        <v>576</v>
      </c>
    </row>
    <row r="15" spans="1:29" x14ac:dyDescent="0.3">
      <c r="C15" t="s">
        <v>578</v>
      </c>
    </row>
    <row r="16" spans="1:29" x14ac:dyDescent="0.3">
      <c r="C16" s="2" t="s">
        <v>584</v>
      </c>
    </row>
    <row r="17" spans="3:7" x14ac:dyDescent="0.3">
      <c r="C17" t="s">
        <v>572</v>
      </c>
    </row>
    <row r="18" spans="3:7" x14ac:dyDescent="0.3">
      <c r="C18" t="s">
        <v>577</v>
      </c>
    </row>
    <row r="19" spans="3:7" x14ac:dyDescent="0.3">
      <c r="C19" t="s">
        <v>595</v>
      </c>
    </row>
    <row r="22" spans="3:7" x14ac:dyDescent="0.3">
      <c r="D22" t="s">
        <v>586</v>
      </c>
    </row>
    <row r="23" spans="3:7" x14ac:dyDescent="0.3">
      <c r="E23" t="s">
        <v>111</v>
      </c>
      <c r="F23" t="s">
        <v>588</v>
      </c>
      <c r="G23" t="s">
        <v>143</v>
      </c>
    </row>
    <row r="24" spans="3:7" x14ac:dyDescent="0.3">
      <c r="D24" t="s">
        <v>587</v>
      </c>
      <c r="E24" s="37">
        <v>1.5</v>
      </c>
      <c r="F24" s="37">
        <v>1.5</v>
      </c>
      <c r="G24" s="37">
        <v>2</v>
      </c>
    </row>
    <row r="25" spans="3:7" x14ac:dyDescent="0.3">
      <c r="D25" t="s">
        <v>591</v>
      </c>
      <c r="E25" s="48">
        <f>3000*(E24-1)</f>
        <v>1500</v>
      </c>
      <c r="F25" s="48">
        <f>50*(F24-1)</f>
        <v>25</v>
      </c>
      <c r="G25" s="48">
        <f>25*(G24-1)</f>
        <v>25</v>
      </c>
    </row>
    <row r="27" spans="3:7" x14ac:dyDescent="0.3">
      <c r="D27" t="s">
        <v>592</v>
      </c>
    </row>
    <row r="28" spans="3:7" x14ac:dyDescent="0.3">
      <c r="D28" t="s">
        <v>590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I16" sqref="I16"/>
    </sheetView>
  </sheetViews>
  <sheetFormatPr defaultRowHeight="14" x14ac:dyDescent="0.3"/>
  <cols>
    <col min="3" max="3" width="13.33203125" customWidth="1"/>
    <col min="4" max="4" width="13.83203125" customWidth="1"/>
    <col min="5" max="5" width="19.33203125" customWidth="1"/>
    <col min="8" max="8" width="9.9140625" customWidth="1"/>
    <col min="11" max="11" width="4.9140625" customWidth="1"/>
    <col min="12" max="12" width="9.4140625" customWidth="1"/>
    <col min="13" max="13" width="9.58203125" customWidth="1"/>
    <col min="14" max="14" width="11.25" customWidth="1"/>
  </cols>
  <sheetData>
    <row r="2" spans="1:15" x14ac:dyDescent="0.3">
      <c r="A2" t="s">
        <v>101</v>
      </c>
    </row>
    <row r="6" spans="1:15" x14ac:dyDescent="0.3">
      <c r="J6" t="s">
        <v>99</v>
      </c>
    </row>
    <row r="7" spans="1:15" x14ac:dyDescent="0.3">
      <c r="B7" t="s">
        <v>89</v>
      </c>
      <c r="C7" t="s">
        <v>90</v>
      </c>
      <c r="D7" t="s">
        <v>91</v>
      </c>
      <c r="E7" t="s">
        <v>92</v>
      </c>
      <c r="F7" t="s">
        <v>93</v>
      </c>
      <c r="K7" t="s">
        <v>89</v>
      </c>
      <c r="L7" t="s">
        <v>90</v>
      </c>
      <c r="M7" t="s">
        <v>91</v>
      </c>
      <c r="N7" t="s">
        <v>92</v>
      </c>
      <c r="O7" t="s">
        <v>93</v>
      </c>
    </row>
    <row r="8" spans="1:15" x14ac:dyDescent="0.3">
      <c r="A8" t="s">
        <v>95</v>
      </c>
      <c r="B8">
        <v>1</v>
      </c>
      <c r="C8">
        <v>10000</v>
      </c>
      <c r="D8">
        <v>55000</v>
      </c>
      <c r="E8">
        <v>60</v>
      </c>
      <c r="F8">
        <f>(C8+(D8-C8)/(E8-1)*B8)</f>
        <v>10762.71186440678</v>
      </c>
      <c r="K8">
        <v>1</v>
      </c>
      <c r="L8">
        <v>10000</v>
      </c>
      <c r="M8">
        <v>55000</v>
      </c>
      <c r="N8">
        <v>60</v>
      </c>
      <c r="O8">
        <f>(L8+(M8-L8)/(N8-1)*K8)</f>
        <v>10762.71186440678</v>
      </c>
    </row>
    <row r="9" spans="1:15" x14ac:dyDescent="0.3">
      <c r="B9">
        <v>2</v>
      </c>
      <c r="C9">
        <v>10000</v>
      </c>
      <c r="D9">
        <v>55000</v>
      </c>
      <c r="E9">
        <v>60</v>
      </c>
      <c r="F9">
        <f>(C9+(D9-C9)/(E9-1)*B9)</f>
        <v>11525.423728813559</v>
      </c>
      <c r="K9">
        <v>2</v>
      </c>
      <c r="L9">
        <v>10000</v>
      </c>
      <c r="M9">
        <v>55000</v>
      </c>
      <c r="N9">
        <v>60</v>
      </c>
      <c r="O9">
        <f>(L9+(M9-L9)/(N9-1)*K9)</f>
        <v>11525.423728813559</v>
      </c>
    </row>
    <row r="10" spans="1:15" x14ac:dyDescent="0.3">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3">
      <c r="B11">
        <v>4</v>
      </c>
      <c r="C11">
        <v>10000</v>
      </c>
      <c r="D11">
        <v>55000</v>
      </c>
      <c r="E11">
        <v>60</v>
      </c>
      <c r="F11">
        <f t="shared" si="0"/>
        <v>13050.847457627118</v>
      </c>
    </row>
    <row r="12" spans="1:15" x14ac:dyDescent="0.3">
      <c r="B12">
        <v>5</v>
      </c>
      <c r="C12">
        <v>10000</v>
      </c>
      <c r="D12">
        <v>55000</v>
      </c>
      <c r="E12">
        <v>60</v>
      </c>
      <c r="F12">
        <f t="shared" si="0"/>
        <v>13813.559322033898</v>
      </c>
    </row>
    <row r="13" spans="1:15" x14ac:dyDescent="0.3">
      <c r="B13">
        <v>6</v>
      </c>
      <c r="C13">
        <v>10000</v>
      </c>
      <c r="D13">
        <v>55000</v>
      </c>
      <c r="E13">
        <v>60</v>
      </c>
      <c r="F13">
        <f t="shared" si="0"/>
        <v>14576.271186440677</v>
      </c>
    </row>
    <row r="14" spans="1:15" x14ac:dyDescent="0.3">
      <c r="B14">
        <v>7</v>
      </c>
      <c r="C14">
        <v>10000</v>
      </c>
      <c r="D14">
        <v>55000</v>
      </c>
      <c r="E14">
        <v>60</v>
      </c>
      <c r="F14">
        <f t="shared" si="0"/>
        <v>15338.983050847459</v>
      </c>
    </row>
    <row r="15" spans="1:15" x14ac:dyDescent="0.3">
      <c r="B15">
        <v>8</v>
      </c>
      <c r="C15">
        <v>10000</v>
      </c>
      <c r="D15">
        <v>55000</v>
      </c>
      <c r="E15">
        <v>60</v>
      </c>
      <c r="F15">
        <f t="shared" si="0"/>
        <v>16101.694915254237</v>
      </c>
    </row>
    <row r="16" spans="1:15" x14ac:dyDescent="0.3">
      <c r="B16">
        <v>9</v>
      </c>
      <c r="C16">
        <v>10000</v>
      </c>
      <c r="D16">
        <v>55000</v>
      </c>
      <c r="E16">
        <v>60</v>
      </c>
      <c r="F16">
        <f t="shared" si="0"/>
        <v>16864.406779661018</v>
      </c>
    </row>
    <row r="17" spans="1:18" x14ac:dyDescent="0.3">
      <c r="B17">
        <v>10</v>
      </c>
      <c r="C17">
        <v>10000</v>
      </c>
      <c r="D17">
        <v>55000</v>
      </c>
      <c r="E17">
        <v>60</v>
      </c>
      <c r="F17">
        <f t="shared" si="0"/>
        <v>17627.118644067796</v>
      </c>
    </row>
    <row r="20" spans="1:18" x14ac:dyDescent="0.3">
      <c r="A20" t="s">
        <v>96</v>
      </c>
      <c r="B20">
        <v>1</v>
      </c>
      <c r="C20">
        <v>10</v>
      </c>
      <c r="D20">
        <v>20000</v>
      </c>
      <c r="E20">
        <v>60</v>
      </c>
      <c r="F20">
        <f>(C20+(D20-C20)/(E20-1)*B20)</f>
        <v>348.81355932203388</v>
      </c>
    </row>
    <row r="21" spans="1:18" x14ac:dyDescent="0.3">
      <c r="B21">
        <v>2</v>
      </c>
      <c r="C21">
        <v>10</v>
      </c>
      <c r="D21">
        <v>20000</v>
      </c>
      <c r="E21">
        <v>60</v>
      </c>
      <c r="F21">
        <f>(C21+(D21-C21)/(E21-1)*B21)</f>
        <v>687.62711864406776</v>
      </c>
    </row>
    <row r="22" spans="1:18" x14ac:dyDescent="0.3">
      <c r="B22">
        <v>3</v>
      </c>
      <c r="C22">
        <v>10</v>
      </c>
      <c r="D22">
        <v>20000</v>
      </c>
      <c r="E22">
        <v>60</v>
      </c>
      <c r="F22">
        <f t="shared" ref="F22:F29" si="2">(C22+(D22-C22)/(E22-1)*B22)</f>
        <v>1026.4406779661017</v>
      </c>
    </row>
    <row r="23" spans="1:18" x14ac:dyDescent="0.3">
      <c r="B23">
        <v>4</v>
      </c>
      <c r="C23">
        <v>10</v>
      </c>
      <c r="D23">
        <v>20000</v>
      </c>
      <c r="E23">
        <v>60</v>
      </c>
      <c r="F23">
        <f t="shared" si="2"/>
        <v>1365.2542372881355</v>
      </c>
    </row>
    <row r="24" spans="1:18" x14ac:dyDescent="0.3">
      <c r="B24">
        <v>5</v>
      </c>
      <c r="C24">
        <v>10</v>
      </c>
      <c r="D24">
        <v>20000</v>
      </c>
      <c r="E24">
        <v>60</v>
      </c>
      <c r="F24">
        <f t="shared" si="2"/>
        <v>1704.0677966101694</v>
      </c>
    </row>
    <row r="25" spans="1:18" x14ac:dyDescent="0.3">
      <c r="B25">
        <v>6</v>
      </c>
      <c r="C25">
        <v>10</v>
      </c>
      <c r="D25">
        <v>20000</v>
      </c>
      <c r="E25">
        <v>60</v>
      </c>
      <c r="F25">
        <f t="shared" si="2"/>
        <v>2042.8813559322034</v>
      </c>
    </row>
    <row r="26" spans="1:18" x14ac:dyDescent="0.3">
      <c r="B26">
        <v>7</v>
      </c>
      <c r="C26">
        <v>10</v>
      </c>
      <c r="D26">
        <v>20000</v>
      </c>
      <c r="E26">
        <v>60</v>
      </c>
      <c r="F26">
        <f t="shared" si="2"/>
        <v>2381.694915254237</v>
      </c>
    </row>
    <row r="27" spans="1:18" x14ac:dyDescent="0.3">
      <c r="B27">
        <v>8</v>
      </c>
      <c r="C27">
        <v>10</v>
      </c>
      <c r="D27">
        <v>20000</v>
      </c>
      <c r="E27">
        <v>60</v>
      </c>
      <c r="F27">
        <f t="shared" si="2"/>
        <v>2720.5084745762711</v>
      </c>
      <c r="Q27">
        <f>SUM(O8:O119)</f>
        <v>34576.271186440674</v>
      </c>
      <c r="R27" t="s">
        <v>97</v>
      </c>
    </row>
    <row r="28" spans="1:18" x14ac:dyDescent="0.3">
      <c r="B28">
        <v>9</v>
      </c>
      <c r="C28">
        <v>10</v>
      </c>
      <c r="D28">
        <v>20000</v>
      </c>
      <c r="E28">
        <v>60</v>
      </c>
      <c r="F28">
        <f t="shared" si="2"/>
        <v>3059.3220338983051</v>
      </c>
    </row>
    <row r="29" spans="1:18" x14ac:dyDescent="0.3">
      <c r="B29">
        <v>10</v>
      </c>
      <c r="C29">
        <v>10</v>
      </c>
      <c r="D29">
        <v>20000</v>
      </c>
      <c r="E29">
        <v>60</v>
      </c>
      <c r="F29">
        <f t="shared" si="2"/>
        <v>3398.1355932203387</v>
      </c>
    </row>
    <row r="30" spans="1:18" x14ac:dyDescent="0.3">
      <c r="B30">
        <v>11</v>
      </c>
      <c r="C30">
        <v>10</v>
      </c>
      <c r="D30">
        <v>20000</v>
      </c>
      <c r="E30">
        <v>60</v>
      </c>
      <c r="F30">
        <f>(C30+(D30-C30)/(E30-1)*B30)</f>
        <v>3736.9491525423728</v>
      </c>
    </row>
    <row r="31" spans="1:18" x14ac:dyDescent="0.3">
      <c r="B31">
        <v>12</v>
      </c>
      <c r="C31">
        <v>10</v>
      </c>
      <c r="D31">
        <v>20000</v>
      </c>
      <c r="E31">
        <v>60</v>
      </c>
      <c r="F31">
        <f>(C31+(D31-C31)/(E31-1)*B31)</f>
        <v>4075.7627118644068</v>
      </c>
    </row>
    <row r="32" spans="1:18" x14ac:dyDescent="0.3">
      <c r="B32">
        <v>13</v>
      </c>
      <c r="C32">
        <v>10</v>
      </c>
      <c r="D32">
        <v>20000</v>
      </c>
      <c r="E32">
        <v>60</v>
      </c>
      <c r="F32">
        <f t="shared" ref="F32:F38" si="3">(C32+(D32-C32)/(E32-1)*B32)</f>
        <v>4414.5762711864409</v>
      </c>
    </row>
    <row r="33" spans="2:6" x14ac:dyDescent="0.3">
      <c r="B33">
        <v>14</v>
      </c>
      <c r="C33">
        <v>10</v>
      </c>
      <c r="D33">
        <v>20000</v>
      </c>
      <c r="E33">
        <v>60</v>
      </c>
      <c r="F33">
        <f t="shared" si="3"/>
        <v>4753.389830508474</v>
      </c>
    </row>
    <row r="34" spans="2:6" x14ac:dyDescent="0.3">
      <c r="B34">
        <v>15</v>
      </c>
      <c r="C34">
        <v>10</v>
      </c>
      <c r="D34">
        <v>20000</v>
      </c>
      <c r="E34">
        <v>60</v>
      </c>
      <c r="F34">
        <f t="shared" si="3"/>
        <v>5092.2033898305081</v>
      </c>
    </row>
    <row r="35" spans="2:6" x14ac:dyDescent="0.3">
      <c r="B35">
        <v>16</v>
      </c>
      <c r="C35">
        <v>10</v>
      </c>
      <c r="D35">
        <v>20000</v>
      </c>
      <c r="E35">
        <v>60</v>
      </c>
      <c r="F35">
        <f t="shared" si="3"/>
        <v>5431.0169491525421</v>
      </c>
    </row>
    <row r="36" spans="2:6" x14ac:dyDescent="0.3">
      <c r="B36">
        <v>17</v>
      </c>
      <c r="C36">
        <v>10</v>
      </c>
      <c r="D36">
        <v>20000</v>
      </c>
      <c r="E36">
        <v>60</v>
      </c>
      <c r="F36">
        <f t="shared" si="3"/>
        <v>5769.8305084745762</v>
      </c>
    </row>
    <row r="37" spans="2:6" x14ac:dyDescent="0.3">
      <c r="B37">
        <v>18</v>
      </c>
      <c r="C37">
        <v>10</v>
      </c>
      <c r="D37">
        <v>20000</v>
      </c>
      <c r="E37">
        <v>60</v>
      </c>
      <c r="F37">
        <f t="shared" si="3"/>
        <v>6108.6440677966102</v>
      </c>
    </row>
    <row r="38" spans="2:6" x14ac:dyDescent="0.3">
      <c r="B38">
        <v>19</v>
      </c>
      <c r="C38">
        <v>10</v>
      </c>
      <c r="D38">
        <v>20000</v>
      </c>
      <c r="E38">
        <v>60</v>
      </c>
      <c r="F38">
        <f t="shared" si="3"/>
        <v>6447.4576271186434</v>
      </c>
    </row>
    <row r="39" spans="2:6" x14ac:dyDescent="0.3">
      <c r="B39">
        <v>20</v>
      </c>
      <c r="C39">
        <v>10</v>
      </c>
      <c r="D39">
        <v>20000</v>
      </c>
      <c r="E39">
        <v>60</v>
      </c>
      <c r="F39">
        <f>(C39+(D39-C39)/(E39-1)*B39)</f>
        <v>6786.2711864406774</v>
      </c>
    </row>
    <row r="40" spans="2:6" x14ac:dyDescent="0.3">
      <c r="B40">
        <v>21</v>
      </c>
      <c r="C40">
        <v>10</v>
      </c>
      <c r="D40">
        <v>20000</v>
      </c>
      <c r="E40">
        <v>60</v>
      </c>
      <c r="F40">
        <f>(C40+(D40-C40)/(E40-1)*B40)</f>
        <v>7125.0847457627115</v>
      </c>
    </row>
    <row r="41" spans="2:6" x14ac:dyDescent="0.3">
      <c r="B41">
        <v>22</v>
      </c>
      <c r="C41">
        <v>10</v>
      </c>
      <c r="D41">
        <v>20000</v>
      </c>
      <c r="E41">
        <v>60</v>
      </c>
      <c r="F41">
        <f t="shared" ref="F41:F48" si="4">(C41+(D41-C41)/(E41-1)*B41)</f>
        <v>7463.8983050847455</v>
      </c>
    </row>
    <row r="42" spans="2:6" x14ac:dyDescent="0.3">
      <c r="B42">
        <v>23</v>
      </c>
      <c r="C42">
        <v>10</v>
      </c>
      <c r="D42">
        <v>20000</v>
      </c>
      <c r="E42">
        <v>60</v>
      </c>
      <c r="F42">
        <f t="shared" si="4"/>
        <v>7802.7118644067796</v>
      </c>
    </row>
    <row r="43" spans="2:6" x14ac:dyDescent="0.3">
      <c r="B43">
        <v>24</v>
      </c>
      <c r="C43">
        <v>10</v>
      </c>
      <c r="D43">
        <v>20000</v>
      </c>
      <c r="E43">
        <v>60</v>
      </c>
      <c r="F43">
        <f t="shared" si="4"/>
        <v>8141.5254237288136</v>
      </c>
    </row>
    <row r="44" spans="2:6" x14ac:dyDescent="0.3">
      <c r="B44">
        <v>25</v>
      </c>
      <c r="C44">
        <v>10</v>
      </c>
      <c r="D44">
        <v>20000</v>
      </c>
      <c r="E44">
        <v>60</v>
      </c>
      <c r="F44">
        <f t="shared" si="4"/>
        <v>8480.3389830508477</v>
      </c>
    </row>
    <row r="45" spans="2:6" x14ac:dyDescent="0.3">
      <c r="B45">
        <v>26</v>
      </c>
      <c r="C45">
        <v>10</v>
      </c>
      <c r="D45">
        <v>20000</v>
      </c>
      <c r="E45">
        <v>60</v>
      </c>
      <c r="F45">
        <f t="shared" si="4"/>
        <v>8819.1525423728817</v>
      </c>
    </row>
    <row r="46" spans="2:6" x14ac:dyDescent="0.3">
      <c r="B46">
        <v>27</v>
      </c>
      <c r="C46">
        <v>10</v>
      </c>
      <c r="D46">
        <v>20000</v>
      </c>
      <c r="E46">
        <v>60</v>
      </c>
      <c r="F46">
        <f t="shared" si="4"/>
        <v>9157.966101694914</v>
      </c>
    </row>
    <row r="47" spans="2:6" x14ac:dyDescent="0.3">
      <c r="B47">
        <v>28</v>
      </c>
      <c r="C47">
        <v>10</v>
      </c>
      <c r="D47">
        <v>20000</v>
      </c>
      <c r="E47">
        <v>60</v>
      </c>
      <c r="F47">
        <f t="shared" si="4"/>
        <v>9496.779661016948</v>
      </c>
    </row>
    <row r="48" spans="2:6" x14ac:dyDescent="0.3">
      <c r="B48">
        <v>29</v>
      </c>
      <c r="C48">
        <v>10</v>
      </c>
      <c r="D48">
        <v>20000</v>
      </c>
      <c r="E48">
        <v>60</v>
      </c>
      <c r="F48">
        <f t="shared" si="4"/>
        <v>9835.5932203389821</v>
      </c>
    </row>
    <row r="49" spans="2:9" x14ac:dyDescent="0.3">
      <c r="B49">
        <v>30</v>
      </c>
      <c r="C49">
        <v>10</v>
      </c>
      <c r="D49">
        <v>20000</v>
      </c>
      <c r="E49">
        <v>60</v>
      </c>
      <c r="F49">
        <f>(C49+(D49-C49)/(E49-1)*B49)</f>
        <v>10174.406779661016</v>
      </c>
      <c r="H49">
        <f>SUM(F20:F49)</f>
        <v>157848.30508474578</v>
      </c>
      <c r="I49" t="s">
        <v>94</v>
      </c>
    </row>
    <row r="50" spans="2:9" x14ac:dyDescent="0.3">
      <c r="B50">
        <v>31</v>
      </c>
      <c r="C50">
        <v>10</v>
      </c>
      <c r="D50">
        <v>20000</v>
      </c>
      <c r="E50">
        <v>60</v>
      </c>
      <c r="F50">
        <f t="shared" ref="F50:F59" si="5">(C50+(D50-C50)/(E50-1)*B50)</f>
        <v>10513.22033898305</v>
      </c>
    </row>
    <row r="51" spans="2:9" x14ac:dyDescent="0.3">
      <c r="B51">
        <v>32</v>
      </c>
      <c r="C51">
        <v>10</v>
      </c>
      <c r="D51">
        <v>20000</v>
      </c>
      <c r="E51">
        <v>60</v>
      </c>
      <c r="F51">
        <f t="shared" si="5"/>
        <v>10852.033898305084</v>
      </c>
    </row>
    <row r="52" spans="2:9" x14ac:dyDescent="0.3">
      <c r="B52">
        <v>33</v>
      </c>
      <c r="C52">
        <v>10</v>
      </c>
      <c r="D52">
        <v>20000</v>
      </c>
      <c r="E52">
        <v>60</v>
      </c>
      <c r="F52">
        <f t="shared" si="5"/>
        <v>11190.847457627118</v>
      </c>
    </row>
    <row r="53" spans="2:9" x14ac:dyDescent="0.3">
      <c r="B53">
        <v>34</v>
      </c>
      <c r="C53">
        <v>10</v>
      </c>
      <c r="D53">
        <v>20000</v>
      </c>
      <c r="E53">
        <v>60</v>
      </c>
      <c r="F53">
        <f t="shared" si="5"/>
        <v>11529.661016949152</v>
      </c>
    </row>
    <row r="54" spans="2:9" x14ac:dyDescent="0.3">
      <c r="B54">
        <v>35</v>
      </c>
      <c r="C54">
        <v>10</v>
      </c>
      <c r="D54">
        <v>20000</v>
      </c>
      <c r="E54">
        <v>60</v>
      </c>
      <c r="F54">
        <f t="shared" si="5"/>
        <v>11868.474576271186</v>
      </c>
    </row>
    <row r="55" spans="2:9" x14ac:dyDescent="0.3">
      <c r="B55">
        <v>36</v>
      </c>
      <c r="C55">
        <v>10</v>
      </c>
      <c r="D55">
        <v>20000</v>
      </c>
      <c r="E55">
        <v>60</v>
      </c>
      <c r="F55">
        <f t="shared" si="5"/>
        <v>12207.28813559322</v>
      </c>
    </row>
    <row r="56" spans="2:9" x14ac:dyDescent="0.3">
      <c r="B56">
        <v>37</v>
      </c>
      <c r="C56">
        <v>10</v>
      </c>
      <c r="D56">
        <v>20000</v>
      </c>
      <c r="E56">
        <v>60</v>
      </c>
      <c r="F56">
        <f t="shared" si="5"/>
        <v>12546.101694915254</v>
      </c>
    </row>
    <row r="57" spans="2:9" x14ac:dyDescent="0.3">
      <c r="B57">
        <v>38</v>
      </c>
      <c r="C57">
        <v>10</v>
      </c>
      <c r="D57">
        <v>20000</v>
      </c>
      <c r="E57">
        <v>60</v>
      </c>
      <c r="F57">
        <f t="shared" si="5"/>
        <v>12884.915254237287</v>
      </c>
    </row>
    <row r="58" spans="2:9" x14ac:dyDescent="0.3">
      <c r="B58">
        <v>39</v>
      </c>
      <c r="C58">
        <v>10</v>
      </c>
      <c r="D58">
        <v>20000</v>
      </c>
      <c r="E58">
        <v>60</v>
      </c>
      <c r="F58">
        <f t="shared" si="5"/>
        <v>13223.728813559321</v>
      </c>
    </row>
    <row r="59" spans="2:9" x14ac:dyDescent="0.3">
      <c r="B59">
        <v>40</v>
      </c>
      <c r="C59">
        <v>10</v>
      </c>
      <c r="D59">
        <v>20000</v>
      </c>
      <c r="E59">
        <v>60</v>
      </c>
      <c r="F59">
        <f t="shared" si="5"/>
        <v>13562.542372881355</v>
      </c>
      <c r="H59">
        <f>SUM(F20:F59)</f>
        <v>278227.11864406784</v>
      </c>
      <c r="I59" t="s">
        <v>94</v>
      </c>
    </row>
    <row r="68" spans="8:9" x14ac:dyDescent="0.3">
      <c r="H68">
        <f>SUM(F20:F128)</f>
        <v>278227.11864406784</v>
      </c>
      <c r="I68" t="s">
        <v>98</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H34" sqref="H34"/>
    </sheetView>
  </sheetViews>
  <sheetFormatPr defaultRowHeight="14" x14ac:dyDescent="0.3"/>
  <cols>
    <col min="4" max="4" width="7.75" customWidth="1"/>
    <col min="5" max="5" width="11.58203125" customWidth="1"/>
    <col min="6" max="6" width="8.33203125" customWidth="1"/>
    <col min="7" max="7" width="11.33203125" customWidth="1"/>
    <col min="8" max="8" width="13.75" customWidth="1"/>
    <col min="9" max="9" width="9.83203125" customWidth="1"/>
    <col min="10" max="10" width="16.1640625" customWidth="1"/>
    <col min="11" max="11" width="12" customWidth="1"/>
  </cols>
  <sheetData>
    <row r="1" spans="1:12" x14ac:dyDescent="0.3">
      <c r="A1" t="s">
        <v>75</v>
      </c>
    </row>
    <row r="2" spans="1:12" x14ac:dyDescent="0.3">
      <c r="D2" s="2" t="s">
        <v>56</v>
      </c>
      <c r="E2" s="2" t="s">
        <v>57</v>
      </c>
      <c r="F2" s="2" t="s">
        <v>58</v>
      </c>
      <c r="G2" s="2" t="s">
        <v>59</v>
      </c>
      <c r="H2" s="2" t="s">
        <v>73</v>
      </c>
      <c r="I2" s="2" t="s">
        <v>60</v>
      </c>
      <c r="J2" s="2" t="s">
        <v>70</v>
      </c>
      <c r="K2" s="2"/>
      <c r="L2" s="2" t="s">
        <v>65</v>
      </c>
    </row>
    <row r="3" spans="1:12" x14ac:dyDescent="0.3">
      <c r="B3" t="s">
        <v>132</v>
      </c>
      <c r="C3" t="s">
        <v>133</v>
      </c>
      <c r="D3" t="s">
        <v>134</v>
      </c>
      <c r="E3" s="5" t="s">
        <v>74</v>
      </c>
      <c r="F3" t="s">
        <v>62</v>
      </c>
      <c r="G3" t="s">
        <v>62</v>
      </c>
      <c r="J3" s="5" t="s">
        <v>71</v>
      </c>
      <c r="L3" t="str">
        <f>"子弹威力 = "&amp;D3&amp;" ( _parent._parent.空手攻击力 "&amp;F3&amp;E3&amp;" ) "&amp;"*(1+_parent._parent.技能等级"&amp;G3&amp;")"&amp;J3</f>
        <v>子弹威力 = 100+ ( _parent._parent.空手攻击力 *1+100 ) *(1+_parent._parent.技能等级*1)+_parent._parent.等级*10</v>
      </c>
    </row>
    <row r="4" spans="1:12" x14ac:dyDescent="0.3">
      <c r="C4" t="s">
        <v>64</v>
      </c>
      <c r="E4" s="5" t="s">
        <v>74</v>
      </c>
      <c r="F4" t="s">
        <v>62</v>
      </c>
      <c r="G4" t="s">
        <v>62</v>
      </c>
      <c r="L4" t="str">
        <f>"子弹威力 = "&amp;D4&amp;" ( _parent._parent.空手攻击力 "&amp;F4&amp;E4&amp;" ) "&amp;"*(1+_parent._parent.技能等级"&amp;G4&amp;")"&amp;J4</f>
        <v>子弹威力 =  ( _parent._parent.空手攻击力 *1+100 ) *(1+_parent._parent.技能等级*1)</v>
      </c>
    </row>
    <row r="5" spans="1:12" x14ac:dyDescent="0.3">
      <c r="C5" s="1" t="s">
        <v>68</v>
      </c>
      <c r="E5" s="5" t="s">
        <v>74</v>
      </c>
      <c r="F5" t="s">
        <v>62</v>
      </c>
      <c r="G5" t="s">
        <v>62</v>
      </c>
      <c r="L5" t="str">
        <f>"子弹威力 = "&amp;D5&amp;" ( _parent._parent.空手攻击力 "&amp;F5&amp;E5&amp;" ) "&amp;"*(1+_parent._parent.技能等级"&amp;G5&amp;")"&amp;J5</f>
        <v>子弹威力 =  ( _parent._parent.空手攻击力 *1+100 ) *(1+_parent._parent.技能等级*1)</v>
      </c>
    </row>
    <row r="8" spans="1:12" x14ac:dyDescent="0.3">
      <c r="K8" s="1" t="s">
        <v>66</v>
      </c>
      <c r="L8" s="4"/>
    </row>
    <row r="9" spans="1:12" x14ac:dyDescent="0.3">
      <c r="K9" s="4"/>
      <c r="L9" s="4" t="s">
        <v>72</v>
      </c>
    </row>
    <row r="12" spans="1:12" x14ac:dyDescent="0.3">
      <c r="B12" t="s">
        <v>130</v>
      </c>
      <c r="C12" t="s">
        <v>69</v>
      </c>
      <c r="D12" t="s">
        <v>61</v>
      </c>
      <c r="E12" s="5" t="s">
        <v>74</v>
      </c>
      <c r="F12" t="s">
        <v>135</v>
      </c>
      <c r="G12" t="s">
        <v>62</v>
      </c>
      <c r="J12" s="5" t="s">
        <v>71</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3">
      <c r="C13" t="s">
        <v>64</v>
      </c>
      <c r="E13" s="5" t="s">
        <v>74</v>
      </c>
      <c r="F13" t="s">
        <v>136</v>
      </c>
      <c r="G13" t="s">
        <v>62</v>
      </c>
      <c r="L13" t="str">
        <f>"子弹威力 = "&amp;D13&amp;" ( _parent._parent.空手攻击力 "&amp;F13&amp;E13&amp;" ) "&amp;"*(1+_parent._parent.技能等级"&amp;G13&amp;")"&amp;J13</f>
        <v>子弹威力 =  ( _parent._parent.空手攻击力 /3+100 ) *(1+_parent._parent.技能等级*1)</v>
      </c>
    </row>
    <row r="14" spans="1:12" x14ac:dyDescent="0.3">
      <c r="C14" s="1" t="s">
        <v>68</v>
      </c>
      <c r="E14" s="5" t="s">
        <v>74</v>
      </c>
      <c r="F14" t="s">
        <v>136</v>
      </c>
      <c r="G14" t="s">
        <v>62</v>
      </c>
      <c r="L14" t="str">
        <f>"子弹威力 = "&amp;D14&amp;" ( _parent._parent.空手攻击力 "&amp;F14&amp;E14&amp;" ) "&amp;"*(1+_parent._parent.技能等级"&amp;G14&amp;")"&amp;J14</f>
        <v>子弹威力 =  ( _parent._parent.空手攻击力 /3+100 ) *(1+_parent._parent.技能等级*1)</v>
      </c>
    </row>
    <row r="17" spans="2:29" x14ac:dyDescent="0.3">
      <c r="K17" s="1" t="s">
        <v>66</v>
      </c>
      <c r="L17" s="4"/>
    </row>
    <row r="18" spans="2:29" x14ac:dyDescent="0.3">
      <c r="K18" s="4"/>
      <c r="L18" s="4" t="s">
        <v>72</v>
      </c>
    </row>
    <row r="20" spans="2:29" x14ac:dyDescent="0.3">
      <c r="B20" t="s">
        <v>131</v>
      </c>
      <c r="C20" t="s">
        <v>69</v>
      </c>
      <c r="D20" t="s">
        <v>61</v>
      </c>
      <c r="E20" s="5" t="s">
        <v>74</v>
      </c>
      <c r="F20" t="s">
        <v>129</v>
      </c>
      <c r="G20" t="s">
        <v>62</v>
      </c>
      <c r="H20" s="5" t="s">
        <v>74</v>
      </c>
      <c r="I20" s="5" t="s">
        <v>63</v>
      </c>
      <c r="J20" s="5" t="s">
        <v>71</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3">
      <c r="C21" t="s">
        <v>67</v>
      </c>
      <c r="E21" s="5"/>
      <c r="F21" t="s">
        <v>129</v>
      </c>
      <c r="G21" t="s">
        <v>62</v>
      </c>
      <c r="H21" s="5"/>
      <c r="I21" s="5" t="s">
        <v>63</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3">
      <c r="C22" s="1" t="s">
        <v>68</v>
      </c>
      <c r="E22" s="5" t="s">
        <v>74</v>
      </c>
      <c r="F22" t="s">
        <v>129</v>
      </c>
      <c r="G22" t="s">
        <v>62</v>
      </c>
      <c r="H22" s="5"/>
      <c r="I22" s="5" t="s">
        <v>63</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3">
      <c r="K25" s="1" t="s">
        <v>66</v>
      </c>
      <c r="L25" s="4"/>
    </row>
    <row r="26" spans="2:29" x14ac:dyDescent="0.3">
      <c r="K26" s="4"/>
      <c r="L26" s="4" t="s">
        <v>72</v>
      </c>
    </row>
    <row r="30" spans="2:29" x14ac:dyDescent="0.3">
      <c r="C30" s="1" t="s">
        <v>76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91" workbookViewId="0">
      <selection activeCell="A109" sqref="A109"/>
    </sheetView>
  </sheetViews>
  <sheetFormatPr defaultRowHeight="14" x14ac:dyDescent="0.3"/>
  <cols>
    <col min="3" max="3" width="13.58203125" customWidth="1"/>
    <col min="5" max="5" width="12.5" customWidth="1"/>
    <col min="6" max="6" width="11.25" customWidth="1"/>
    <col min="8" max="8" width="6.25" customWidth="1"/>
    <col min="9" max="9" width="9.1640625" customWidth="1"/>
    <col min="10" max="10" width="9.5" customWidth="1"/>
    <col min="11" max="11" width="11.75" customWidth="1"/>
    <col min="13" max="13" width="15.75" customWidth="1"/>
    <col min="14" max="14" width="5.5" customWidth="1"/>
    <col min="15" max="15" width="10.08203125" customWidth="1"/>
    <col min="16" max="16" width="12.9140625" customWidth="1"/>
    <col min="17" max="17" width="11.6640625" customWidth="1"/>
    <col min="18" max="18" width="9.25" customWidth="1"/>
    <col min="22" max="23" width="11.25" bestFit="1" customWidth="1"/>
    <col min="26" max="26" width="10.25" customWidth="1"/>
    <col min="27" max="27" width="9.75" customWidth="1"/>
    <col min="28" max="28" width="11.6640625" customWidth="1"/>
    <col min="33" max="33" width="9.6640625" customWidth="1"/>
  </cols>
  <sheetData>
    <row r="2" spans="2:34" x14ac:dyDescent="0.3">
      <c r="B2" t="s">
        <v>105</v>
      </c>
    </row>
    <row r="3" spans="2:34" x14ac:dyDescent="0.3">
      <c r="B3" t="s">
        <v>102</v>
      </c>
    </row>
    <row r="6" spans="2:34" x14ac:dyDescent="0.3">
      <c r="B6" t="s">
        <v>89</v>
      </c>
      <c r="C6" t="s">
        <v>103</v>
      </c>
      <c r="D6" t="s">
        <v>104</v>
      </c>
      <c r="E6" t="s">
        <v>92</v>
      </c>
      <c r="F6" t="s">
        <v>106</v>
      </c>
      <c r="H6" t="s">
        <v>89</v>
      </c>
      <c r="I6" t="s">
        <v>103</v>
      </c>
      <c r="J6" t="s">
        <v>104</v>
      </c>
      <c r="K6" t="s">
        <v>92</v>
      </c>
      <c r="L6" t="s">
        <v>106</v>
      </c>
      <c r="N6" t="s">
        <v>89</v>
      </c>
      <c r="O6" t="s">
        <v>90</v>
      </c>
      <c r="P6" t="s">
        <v>91</v>
      </c>
      <c r="Q6" t="s">
        <v>92</v>
      </c>
      <c r="R6" t="s">
        <v>107</v>
      </c>
      <c r="S6" t="s">
        <v>93</v>
      </c>
      <c r="U6" t="s">
        <v>119</v>
      </c>
      <c r="Y6" t="s">
        <v>89</v>
      </c>
      <c r="Z6" t="s">
        <v>90</v>
      </c>
      <c r="AA6" t="s">
        <v>91</v>
      </c>
      <c r="AB6" t="s">
        <v>92</v>
      </c>
      <c r="AC6" t="s">
        <v>107</v>
      </c>
      <c r="AD6" t="s">
        <v>93</v>
      </c>
      <c r="AF6" t="s">
        <v>119</v>
      </c>
    </row>
    <row r="7" spans="2:34" x14ac:dyDescent="0.3">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3">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3">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3">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3">
      <c r="B11">
        <v>5</v>
      </c>
      <c r="C11">
        <v>-83</v>
      </c>
      <c r="D11">
        <v>6000</v>
      </c>
      <c r="E11">
        <v>60</v>
      </c>
      <c r="F11">
        <f t="shared" si="0"/>
        <v>432.50847457627117</v>
      </c>
      <c r="G11" t="s">
        <v>108</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3">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3">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3">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3">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121</v>
      </c>
    </row>
    <row r="16" spans="2:34" x14ac:dyDescent="0.3">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120</v>
      </c>
    </row>
    <row r="17" spans="2:33" x14ac:dyDescent="0.3">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3">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3">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3">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3">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3">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3">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3">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3">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3">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3">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3">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3">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3">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3">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3">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3">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3">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3">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3">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3">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3">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3">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3">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3">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3">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3">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3">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3">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3">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3">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3">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3">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3">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3">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3">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3">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3">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3">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3">
      <c r="B56">
        <v>50</v>
      </c>
      <c r="C56">
        <v>-9500</v>
      </c>
      <c r="D56">
        <v>90000</v>
      </c>
      <c r="E56">
        <v>60</v>
      </c>
      <c r="F56">
        <f t="shared" si="6"/>
        <v>74822.03389830509</v>
      </c>
      <c r="G56" t="s">
        <v>108</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3">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3">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3">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3">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3">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3">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3">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3">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3">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3">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3">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3">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3">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3">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3">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3">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3">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3">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3">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3">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3">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3">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3">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3">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3">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3">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3">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3">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3">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3">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3">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3">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3">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3">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3">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3">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3">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3">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3">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3">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3">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3">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3">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3">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3">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3">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3">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3">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3">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3">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3">
      <c r="B107">
        <v>40</v>
      </c>
      <c r="C107">
        <v>3072.4028101962735</v>
      </c>
      <c r="D107">
        <v>3508.2253446625268</v>
      </c>
      <c r="E107">
        <v>60</v>
      </c>
      <c r="F107">
        <f t="shared" si="12"/>
        <v>3367.875714919157</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3">
      <c r="B108">
        <v>40</v>
      </c>
      <c r="C108">
        <v>1985</v>
      </c>
      <c r="D108">
        <v>4500</v>
      </c>
      <c r="E108">
        <v>60</v>
      </c>
      <c r="F108">
        <f t="shared" si="12"/>
        <v>3690.0847457627119</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3">
      <c r="B109">
        <v>40</v>
      </c>
      <c r="C109">
        <v>1480.8048651498614</v>
      </c>
      <c r="D109">
        <v>5019.3495504995381</v>
      </c>
      <c r="E109">
        <v>60</v>
      </c>
      <c r="F109">
        <f t="shared" si="12"/>
        <v>3879.8182111496426</v>
      </c>
      <c r="H109">
        <v>100</v>
      </c>
      <c r="I109">
        <v>2000</v>
      </c>
      <c r="J109">
        <v>4000</v>
      </c>
      <c r="K109">
        <v>60</v>
      </c>
      <c r="L109">
        <f t="shared" ref="L109" si="25">(I109+(J109-I109)/(K109-1)*H109)</f>
        <v>5389.8305084745771</v>
      </c>
      <c r="M109">
        <f>L106*3</f>
        <v>4016.9491525423728</v>
      </c>
    </row>
    <row r="110" spans="2:32" x14ac:dyDescent="0.3">
      <c r="B110">
        <v>30</v>
      </c>
      <c r="C110">
        <v>265.61398339158382</v>
      </c>
      <c r="D110">
        <v>360.61398339158387</v>
      </c>
      <c r="E110">
        <v>60</v>
      </c>
      <c r="F110">
        <f t="shared" ref="F110:F112" si="26">C110+((D110-C110)/(E110-1))*B110</f>
        <v>313.91906813734658</v>
      </c>
      <c r="M110">
        <f>L106/L109</f>
        <v>0.24842767295597482</v>
      </c>
    </row>
    <row r="111" spans="2:32" x14ac:dyDescent="0.3">
      <c r="B111">
        <v>30</v>
      </c>
      <c r="C111">
        <v>189.28191492822722</v>
      </c>
      <c r="D111">
        <v>468.56382985645445</v>
      </c>
      <c r="E111">
        <v>60</v>
      </c>
      <c r="F111">
        <f t="shared" si="26"/>
        <v>331.28966828156308</v>
      </c>
      <c r="M111">
        <f>L109/L106</f>
        <v>4.0253164556962027</v>
      </c>
    </row>
    <row r="112" spans="2:32" x14ac:dyDescent="0.3">
      <c r="B112">
        <v>30</v>
      </c>
      <c r="C112">
        <v>135.30699169579191</v>
      </c>
      <c r="D112">
        <v>621.22796678316774</v>
      </c>
      <c r="E112">
        <v>60</v>
      </c>
      <c r="F112">
        <f t="shared" si="26"/>
        <v>382.38545360462706</v>
      </c>
    </row>
    <row r="114" spans="6:7" x14ac:dyDescent="0.3">
      <c r="F114" t="s">
        <v>254</v>
      </c>
      <c r="G114">
        <v>393220.33898305101</v>
      </c>
    </row>
    <row r="115" spans="6:7" x14ac:dyDescent="0.3">
      <c r="G115">
        <v>797627.11864406802</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topLeftCell="A4" workbookViewId="0">
      <selection activeCell="E30" sqref="E30"/>
    </sheetView>
  </sheetViews>
  <sheetFormatPr defaultRowHeight="14" x14ac:dyDescent="0.3"/>
  <cols>
    <col min="11" max="11" width="12.33203125" bestFit="1" customWidth="1"/>
    <col min="21" max="21" width="9.08203125" bestFit="1" customWidth="1"/>
  </cols>
  <sheetData>
    <row r="1" spans="1:23" x14ac:dyDescent="0.3">
      <c r="A1" t="s">
        <v>141</v>
      </c>
      <c r="R1" t="s">
        <v>140</v>
      </c>
    </row>
    <row r="2" spans="1:23" x14ac:dyDescent="0.3">
      <c r="B2" t="s">
        <v>109</v>
      </c>
      <c r="S2" t="s">
        <v>142</v>
      </c>
    </row>
    <row r="5" spans="1:23" x14ac:dyDescent="0.3">
      <c r="C5" t="s">
        <v>110</v>
      </c>
      <c r="D5" t="s">
        <v>111</v>
      </c>
      <c r="E5" t="s">
        <v>113</v>
      </c>
      <c r="F5" t="s">
        <v>115</v>
      </c>
      <c r="G5" t="s">
        <v>116</v>
      </c>
      <c r="H5" t="s">
        <v>117</v>
      </c>
      <c r="J5" t="s">
        <v>112</v>
      </c>
      <c r="K5" t="s">
        <v>118</v>
      </c>
      <c r="M5" t="s">
        <v>114</v>
      </c>
      <c r="O5" t="s">
        <v>138</v>
      </c>
      <c r="R5" t="s">
        <v>110</v>
      </c>
      <c r="S5" t="s">
        <v>143</v>
      </c>
      <c r="T5" t="s">
        <v>112</v>
      </c>
      <c r="U5" t="s">
        <v>118</v>
      </c>
      <c r="W5" t="s">
        <v>114</v>
      </c>
    </row>
    <row r="6" spans="1:23" x14ac:dyDescent="0.3">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3">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3">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3">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3">
      <c r="E10">
        <v>0</v>
      </c>
      <c r="F10">
        <f t="shared" si="0"/>
        <v>0</v>
      </c>
      <c r="G10">
        <f t="shared" si="1"/>
        <v>0</v>
      </c>
      <c r="H10">
        <f t="shared" si="2"/>
        <v>1</v>
      </c>
      <c r="J10">
        <v>10000</v>
      </c>
      <c r="K10">
        <f t="shared" si="3"/>
        <v>10000</v>
      </c>
      <c r="M10">
        <f t="shared" ref="M10:M12" si="5">C10*(1-(F10/(F10+300)))</f>
        <v>0</v>
      </c>
    </row>
    <row r="11" spans="1:23" x14ac:dyDescent="0.3">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3">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3">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3">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3">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3">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3">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3">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3">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3">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3">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3">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3">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3">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3">
      <c r="C29">
        <f>21000+5*D29</f>
        <v>23650</v>
      </c>
      <c r="D29">
        <v>530</v>
      </c>
      <c r="E29">
        <v>0</v>
      </c>
      <c r="F29">
        <f>D29*(1-E29)</f>
        <v>530</v>
      </c>
      <c r="G29">
        <f>1-(1-(F29/(F29+300)))</f>
        <v>0.63855421686746983</v>
      </c>
      <c r="H29">
        <f>(1-(F29/(F29+300)))</f>
        <v>0.36144578313253017</v>
      </c>
      <c r="J29">
        <v>80000</v>
      </c>
      <c r="K29">
        <f>J29/H29</f>
        <v>221333.33333333331</v>
      </c>
      <c r="M29">
        <f>C29*(1-(F29/(F29+300)))</f>
        <v>8548.1927710843393</v>
      </c>
      <c r="N29">
        <f>M28-M29</f>
        <v>-8104.8430173897586</v>
      </c>
      <c r="O29">
        <f t="shared" si="4"/>
        <v>9.3587033121916843</v>
      </c>
      <c r="S29">
        <f>1300/18000</f>
        <v>7.2222222222222215E-2</v>
      </c>
    </row>
    <row r="30" spans="3:19" x14ac:dyDescent="0.3">
      <c r="S30">
        <f>18000/30</f>
        <v>600</v>
      </c>
    </row>
    <row r="31" spans="3:19" x14ac:dyDescent="0.3">
      <c r="C31">
        <f>25000+3.5*D31*0.9</f>
        <v>30670</v>
      </c>
      <c r="D31">
        <v>1800</v>
      </c>
      <c r="E31">
        <v>0</v>
      </c>
      <c r="F31">
        <f>D31*(1-E31)</f>
        <v>1800</v>
      </c>
      <c r="G31">
        <f>1-(1-(F31/(F31+300)))</f>
        <v>0.8571428571428571</v>
      </c>
      <c r="H31">
        <f>(1-(F31/(F31+300)))</f>
        <v>0.1428571428571429</v>
      </c>
      <c r="J31">
        <v>40000</v>
      </c>
      <c r="K31">
        <f>J31/H31</f>
        <v>279999.99999999988</v>
      </c>
      <c r="M31">
        <f>C31*(1-(F31/(F31+300)))</f>
        <v>4381.4285714285725</v>
      </c>
      <c r="O31">
        <f t="shared" si="4"/>
        <v>9.1294424519073978</v>
      </c>
    </row>
    <row r="32" spans="3:19" x14ac:dyDescent="0.3">
      <c r="C32">
        <f>25000+3.5*D32*0.9</f>
        <v>25866.25</v>
      </c>
      <c r="D32">
        <v>275</v>
      </c>
      <c r="E32">
        <v>0</v>
      </c>
      <c r="F32">
        <f>D32*(1-E32)</f>
        <v>275</v>
      </c>
      <c r="G32">
        <f>1-(1-(F32/(F32+300)))</f>
        <v>0.47826086956521741</v>
      </c>
      <c r="H32">
        <f>(1-(F32/(F32+300)))</f>
        <v>0.52173913043478259</v>
      </c>
      <c r="J32">
        <v>180000</v>
      </c>
      <c r="K32">
        <f>J32/H32</f>
        <v>345000</v>
      </c>
      <c r="M32">
        <f>C32*(1-(F32/(F32+300)))</f>
        <v>13495.434782608696</v>
      </c>
      <c r="O32">
        <f t="shared" si="4"/>
        <v>13.337843715266033</v>
      </c>
    </row>
    <row r="35" spans="3:15" x14ac:dyDescent="0.3">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3">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3">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3">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3">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3">
      <c r="K46">
        <f>K43+K44*300</f>
        <v>243143333.33333468</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opLeftCell="B1" workbookViewId="0">
      <selection activeCell="N19" sqref="N19"/>
    </sheetView>
  </sheetViews>
  <sheetFormatPr defaultRowHeight="14" x14ac:dyDescent="0.3"/>
  <cols>
    <col min="8" max="8" width="9.4140625" customWidth="1"/>
    <col min="9" max="9" width="9.25" customWidth="1"/>
    <col min="10" max="10" width="8" customWidth="1"/>
    <col min="11" max="11" width="10.5" customWidth="1"/>
    <col min="12" max="12" width="11.83203125" customWidth="1"/>
    <col min="13" max="13" width="8.33203125" customWidth="1"/>
    <col min="14" max="14" width="11.25" customWidth="1"/>
    <col min="15" max="15" width="8.4140625" customWidth="1"/>
    <col min="16" max="16" width="9.83203125" customWidth="1"/>
    <col min="17" max="17" width="7.75" customWidth="1"/>
    <col min="18" max="18" width="11.58203125" customWidth="1"/>
    <col min="19" max="19" width="9.08203125" customWidth="1"/>
    <col min="20" max="20" width="11.5" customWidth="1"/>
    <col min="21" max="21" width="11.58203125" customWidth="1"/>
    <col min="22" max="22" width="15" customWidth="1"/>
  </cols>
  <sheetData>
    <row r="2" spans="2:22" x14ac:dyDescent="0.3">
      <c r="B2" t="s">
        <v>125</v>
      </c>
      <c r="I2" t="s">
        <v>372</v>
      </c>
    </row>
    <row r="3" spans="2:22" x14ac:dyDescent="0.3">
      <c r="C3" t="s">
        <v>122</v>
      </c>
      <c r="D3" t="s">
        <v>123</v>
      </c>
      <c r="E3" t="s">
        <v>124</v>
      </c>
      <c r="J3" t="s">
        <v>373</v>
      </c>
      <c r="K3" t="s">
        <v>374</v>
      </c>
      <c r="L3" t="s">
        <v>375</v>
      </c>
      <c r="M3" t="s">
        <v>379</v>
      </c>
      <c r="N3" t="s">
        <v>380</v>
      </c>
      <c r="O3" t="s">
        <v>378</v>
      </c>
      <c r="P3" t="s">
        <v>381</v>
      </c>
      <c r="Q3" t="s">
        <v>376</v>
      </c>
      <c r="R3" t="s">
        <v>384</v>
      </c>
      <c r="S3" t="s">
        <v>385</v>
      </c>
      <c r="T3" t="s">
        <v>377</v>
      </c>
      <c r="U3" t="s">
        <v>382</v>
      </c>
      <c r="V3" t="s">
        <v>383</v>
      </c>
    </row>
    <row r="4" spans="2:22" x14ac:dyDescent="0.3">
      <c r="C4">
        <v>10</v>
      </c>
      <c r="D4">
        <f>C4*120</f>
        <v>1200</v>
      </c>
      <c r="J4">
        <v>1</v>
      </c>
      <c r="K4">
        <f xml:space="preserve"> (J4- 1) * (J4 - 1) * (J4 - 1) + 1</f>
        <v>1</v>
      </c>
      <c r="L4">
        <f>_xlfn.FLOOR.MATH(0.5*(J4-1)*(J4-1)*(J4-1)+1)</f>
        <v>1</v>
      </c>
      <c r="M4">
        <v>0</v>
      </c>
      <c r="N4">
        <v>0</v>
      </c>
      <c r="O4" s="41">
        <f>0.25*(1+(J4-1)^4.2/216)-1</f>
        <v>-0.75</v>
      </c>
      <c r="P4" s="41">
        <f>0.25+0.25*(1+(J4-1)^4.2/216)-0.7</f>
        <v>-0.19999999999999996</v>
      </c>
      <c r="Q4" s="41"/>
      <c r="R4">
        <f>J4*100+700</f>
        <v>800</v>
      </c>
      <c r="S4">
        <f>M4*R4</f>
        <v>0</v>
      </c>
      <c r="T4" s="41"/>
    </row>
    <row r="5" spans="2:22" x14ac:dyDescent="0.3">
      <c r="D5">
        <f>C4*C4*10</f>
        <v>1000</v>
      </c>
      <c r="E5">
        <f>D5+100000/100</f>
        <v>2000</v>
      </c>
      <c r="J5">
        <v>2</v>
      </c>
      <c r="K5">
        <f t="shared" ref="K5:K15" si="0" xml:space="preserve"> (J5- 1) * (J5 - 1) * (J5 - 1) + 1</f>
        <v>2</v>
      </c>
      <c r="L5">
        <f t="shared" ref="L5:L15" si="1">_xlfn.FLOOR.MATH(0.5*(J5-1)*(J5-1)*(J5-1)+1)</f>
        <v>1</v>
      </c>
      <c r="M5">
        <f>SUM(K4:K4)</f>
        <v>1</v>
      </c>
      <c r="N5">
        <f>SUM(L4:L4)</f>
        <v>1</v>
      </c>
      <c r="O5" s="41">
        <f t="shared" ref="O5:O16" si="2">0.25*(1+(J5-1)^4.2/216)-1</f>
        <v>-0.74884259259259256</v>
      </c>
      <c r="P5" s="41">
        <f t="shared" ref="P5:P16" si="3">0.25+0.25*(1+(J5-1)^4.2/216)-0.7</f>
        <v>-0.19884259259259252</v>
      </c>
      <c r="Q5" s="41">
        <f t="shared" ref="Q5:Q16" si="4">O5/M5</f>
        <v>-0.74884259259259256</v>
      </c>
      <c r="R5">
        <f t="shared" ref="R5:R16" si="5">J5*100+700</f>
        <v>900</v>
      </c>
      <c r="S5">
        <f t="shared" ref="S5:S16" si="6">M5*R5</f>
        <v>900</v>
      </c>
      <c r="T5" s="41">
        <f>O5/N5</f>
        <v>-0.74884259259259256</v>
      </c>
      <c r="U5" s="41">
        <f>P5/M5</f>
        <v>-0.19884259259259252</v>
      </c>
      <c r="V5" s="41">
        <f>P5/N5</f>
        <v>-0.19884259259259252</v>
      </c>
    </row>
    <row r="6" spans="2:22" x14ac:dyDescent="0.3">
      <c r="J6">
        <v>3</v>
      </c>
      <c r="K6">
        <f t="shared" si="0"/>
        <v>9</v>
      </c>
      <c r="L6">
        <f t="shared" si="1"/>
        <v>5</v>
      </c>
      <c r="M6">
        <f>SUM(K4:K5)</f>
        <v>3</v>
      </c>
      <c r="N6">
        <f>SUM(L4:L5)</f>
        <v>2</v>
      </c>
      <c r="O6" s="41">
        <f t="shared" si="2"/>
        <v>-0.72872780824079564</v>
      </c>
      <c r="P6" s="41">
        <f t="shared" si="3"/>
        <v>-0.17872780824079559</v>
      </c>
      <c r="Q6" s="41">
        <f t="shared" si="4"/>
        <v>-0.24290926941359856</v>
      </c>
      <c r="R6">
        <f t="shared" si="5"/>
        <v>1000</v>
      </c>
      <c r="S6">
        <f t="shared" si="6"/>
        <v>3000</v>
      </c>
      <c r="T6" s="41">
        <f t="shared" ref="T6:T16" si="7">O6/N6</f>
        <v>-0.36436390412039782</v>
      </c>
      <c r="U6" s="41">
        <f t="shared" ref="U6:U16" si="8">P6/M6</f>
        <v>-5.95759360802652E-2</v>
      </c>
      <c r="V6" s="41">
        <f t="shared" ref="V6:V15" si="9">P6/N6</f>
        <v>-8.9363904120397797E-2</v>
      </c>
    </row>
    <row r="7" spans="2:22" x14ac:dyDescent="0.3">
      <c r="J7">
        <v>4</v>
      </c>
      <c r="K7">
        <f t="shared" si="0"/>
        <v>28</v>
      </c>
      <c r="L7">
        <f t="shared" si="1"/>
        <v>14</v>
      </c>
      <c r="M7">
        <f>SUM(K4:K6)</f>
        <v>12</v>
      </c>
      <c r="N7">
        <f>SUM(L4:L6)</f>
        <v>7</v>
      </c>
      <c r="O7" s="41">
        <f t="shared" si="2"/>
        <v>-0.63321272441104515</v>
      </c>
      <c r="P7" s="41">
        <f t="shared" si="3"/>
        <v>-8.3212724411045103E-2</v>
      </c>
      <c r="Q7" s="41">
        <f t="shared" si="4"/>
        <v>-5.276772703425376E-2</v>
      </c>
      <c r="R7">
        <f t="shared" si="5"/>
        <v>1100</v>
      </c>
      <c r="S7">
        <f t="shared" si="6"/>
        <v>13200</v>
      </c>
      <c r="T7" s="41">
        <f t="shared" si="7"/>
        <v>-9.0458960630149313E-2</v>
      </c>
      <c r="U7" s="41">
        <f t="shared" si="8"/>
        <v>-6.9343937009204255E-3</v>
      </c>
      <c r="V7" s="41">
        <f t="shared" si="9"/>
        <v>-1.1887532058720729E-2</v>
      </c>
    </row>
    <row r="8" spans="2:22" x14ac:dyDescent="0.3">
      <c r="B8" t="s">
        <v>126</v>
      </c>
      <c r="J8">
        <v>5</v>
      </c>
      <c r="K8">
        <f t="shared" si="0"/>
        <v>65</v>
      </c>
      <c r="L8">
        <f t="shared" si="1"/>
        <v>33</v>
      </c>
      <c r="M8">
        <f>SUM(K4:K7)</f>
        <v>40</v>
      </c>
      <c r="N8">
        <f>SUM(L4:L7)</f>
        <v>21</v>
      </c>
      <c r="O8" s="41">
        <f t="shared" si="2"/>
        <v>-0.35903469310432778</v>
      </c>
      <c r="P8" s="41">
        <f t="shared" si="3"/>
        <v>0.19096530689567226</v>
      </c>
      <c r="Q8" s="41">
        <f t="shared" si="4"/>
        <v>-8.9758673276081943E-3</v>
      </c>
      <c r="R8">
        <f t="shared" si="5"/>
        <v>1200</v>
      </c>
      <c r="S8">
        <f t="shared" si="6"/>
        <v>48000</v>
      </c>
      <c r="T8" s="41">
        <f t="shared" si="7"/>
        <v>-1.7096890147825134E-2</v>
      </c>
      <c r="U8" s="41">
        <f t="shared" si="8"/>
        <v>4.7741326723918067E-3</v>
      </c>
      <c r="V8" s="41">
        <f t="shared" si="9"/>
        <v>9.0935860426510605E-3</v>
      </c>
    </row>
    <row r="9" spans="2:22" x14ac:dyDescent="0.3">
      <c r="C9" t="s">
        <v>89</v>
      </c>
      <c r="D9" t="s">
        <v>127</v>
      </c>
      <c r="J9">
        <v>6</v>
      </c>
      <c r="K9">
        <f t="shared" si="0"/>
        <v>126</v>
      </c>
      <c r="L9">
        <f t="shared" si="1"/>
        <v>63</v>
      </c>
      <c r="M9">
        <f>SUM(K4:K8)</f>
        <v>105</v>
      </c>
      <c r="N9">
        <f>SUM(L4:L8)</f>
        <v>54</v>
      </c>
      <c r="O9" s="41">
        <f t="shared" si="2"/>
        <v>0.24806833149682728</v>
      </c>
      <c r="P9" s="41">
        <f t="shared" si="3"/>
        <v>0.79806833149682732</v>
      </c>
      <c r="Q9" s="41">
        <f t="shared" si="4"/>
        <v>2.3625555380650215E-3</v>
      </c>
      <c r="R9">
        <f t="shared" si="5"/>
        <v>1300</v>
      </c>
      <c r="S9">
        <f t="shared" si="6"/>
        <v>136500</v>
      </c>
      <c r="T9" s="41">
        <f t="shared" si="7"/>
        <v>4.5938579906819868E-3</v>
      </c>
      <c r="U9" s="41">
        <f t="shared" si="8"/>
        <v>7.6006507761602598E-3</v>
      </c>
      <c r="V9" s="41">
        <f t="shared" si="9"/>
        <v>1.4779043175867172E-2</v>
      </c>
    </row>
    <row r="10" spans="2:22" x14ac:dyDescent="0.3">
      <c r="C10">
        <v>1</v>
      </c>
      <c r="D10">
        <f>2500+C10*2500</f>
        <v>5000</v>
      </c>
      <c r="J10">
        <v>7</v>
      </c>
      <c r="K10">
        <f t="shared" si="0"/>
        <v>217</v>
      </c>
      <c r="L10">
        <f t="shared" si="1"/>
        <v>109</v>
      </c>
      <c r="M10">
        <f>SUM(K4:K9)</f>
        <v>231</v>
      </c>
      <c r="N10">
        <f>SUM(L4:L9)</f>
        <v>117</v>
      </c>
      <c r="O10" s="41">
        <f t="shared" si="2"/>
        <v>1.396453621657884</v>
      </c>
      <c r="P10" s="41">
        <f t="shared" si="3"/>
        <v>1.946453621657884</v>
      </c>
      <c r="Q10" s="41">
        <f t="shared" si="4"/>
        <v>6.0452537734107534E-3</v>
      </c>
      <c r="R10">
        <f t="shared" si="5"/>
        <v>1400</v>
      </c>
      <c r="S10">
        <f t="shared" si="6"/>
        <v>323400</v>
      </c>
      <c r="T10" s="41">
        <f t="shared" si="7"/>
        <v>1.1935501039810975E-2</v>
      </c>
      <c r="U10" s="41">
        <f t="shared" si="8"/>
        <v>8.4262061543631337E-3</v>
      </c>
      <c r="V10" s="41">
        <f t="shared" si="9"/>
        <v>1.6636355740665677E-2</v>
      </c>
    </row>
    <row r="11" spans="2:22" x14ac:dyDescent="0.3">
      <c r="C11">
        <v>2</v>
      </c>
      <c r="D11">
        <f>2500+C11*2500</f>
        <v>7500</v>
      </c>
      <c r="J11">
        <v>8</v>
      </c>
      <c r="K11">
        <f t="shared" si="0"/>
        <v>344</v>
      </c>
      <c r="L11">
        <f t="shared" si="1"/>
        <v>172</v>
      </c>
      <c r="M11">
        <f>SUM(K4:K10)</f>
        <v>448</v>
      </c>
      <c r="N11">
        <f>SUM(L4:L10)</f>
        <v>226</v>
      </c>
      <c r="O11" s="41">
        <f t="shared" si="2"/>
        <v>3.3510779641070823</v>
      </c>
      <c r="P11" s="41">
        <f t="shared" si="3"/>
        <v>3.9010779641070821</v>
      </c>
      <c r="Q11" s="41">
        <f t="shared" si="4"/>
        <v>7.4800847413104511E-3</v>
      </c>
      <c r="R11">
        <f t="shared" si="5"/>
        <v>1500</v>
      </c>
      <c r="S11">
        <f t="shared" si="6"/>
        <v>672000</v>
      </c>
      <c r="T11" s="41">
        <f t="shared" si="7"/>
        <v>1.4827778602243727E-2</v>
      </c>
      <c r="U11" s="41">
        <f t="shared" si="8"/>
        <v>8.7077633127390225E-3</v>
      </c>
      <c r="V11" s="41">
        <f t="shared" si="9"/>
        <v>1.7261406920827796E-2</v>
      </c>
    </row>
    <row r="12" spans="2:22" x14ac:dyDescent="0.3">
      <c r="C12">
        <v>3</v>
      </c>
      <c r="D12">
        <f t="shared" ref="D12:D18" si="10">2500+C12*2500</f>
        <v>10000</v>
      </c>
      <c r="J12">
        <v>9</v>
      </c>
      <c r="K12">
        <f t="shared" si="0"/>
        <v>513</v>
      </c>
      <c r="L12">
        <f t="shared" si="1"/>
        <v>257</v>
      </c>
      <c r="M12">
        <f>SUM(K4:K11)</f>
        <v>792</v>
      </c>
      <c r="N12">
        <f>SUM(L4:L11)</f>
        <v>398</v>
      </c>
      <c r="O12" s="41">
        <f t="shared" si="2"/>
        <v>6.4356192782715125</v>
      </c>
      <c r="P12" s="41">
        <f t="shared" si="3"/>
        <v>6.9856192782715123</v>
      </c>
      <c r="Q12" s="41">
        <f t="shared" si="4"/>
        <v>8.125781917009486E-3</v>
      </c>
      <c r="R12">
        <f t="shared" si="5"/>
        <v>1600</v>
      </c>
      <c r="S12">
        <f t="shared" si="6"/>
        <v>1267200</v>
      </c>
      <c r="T12" s="41">
        <f t="shared" si="7"/>
        <v>1.6169897684099276E-2</v>
      </c>
      <c r="U12" s="41">
        <f t="shared" si="8"/>
        <v>8.8202263614539297E-3</v>
      </c>
      <c r="V12" s="41">
        <f t="shared" si="9"/>
        <v>1.7551807231837972E-2</v>
      </c>
    </row>
    <row r="13" spans="2:22" x14ac:dyDescent="0.3">
      <c r="C13">
        <v>4</v>
      </c>
      <c r="D13">
        <f t="shared" si="10"/>
        <v>12500</v>
      </c>
      <c r="J13">
        <v>10</v>
      </c>
      <c r="K13">
        <f t="shared" si="0"/>
        <v>730</v>
      </c>
      <c r="L13">
        <f t="shared" si="1"/>
        <v>365</v>
      </c>
      <c r="M13">
        <f>SUM(K4:K12)</f>
        <v>1305</v>
      </c>
      <c r="N13">
        <f>SUM(L4:L12)</f>
        <v>655</v>
      </c>
      <c r="O13" s="41">
        <f t="shared" si="2"/>
        <v>11.034327326919785</v>
      </c>
      <c r="P13" s="41">
        <f t="shared" si="3"/>
        <v>11.584327326919786</v>
      </c>
      <c r="Q13" s="41">
        <f t="shared" si="4"/>
        <v>8.4554232390189922E-3</v>
      </c>
      <c r="R13">
        <f t="shared" si="5"/>
        <v>1700</v>
      </c>
      <c r="S13">
        <f t="shared" si="6"/>
        <v>2218500</v>
      </c>
      <c r="T13" s="41">
        <f t="shared" si="7"/>
        <v>1.6846301262472954E-2</v>
      </c>
      <c r="U13" s="41">
        <f t="shared" si="8"/>
        <v>8.8768791777163111E-3</v>
      </c>
      <c r="V13" s="41">
        <f t="shared" si="9"/>
        <v>1.7685995918961504E-2</v>
      </c>
    </row>
    <row r="14" spans="2:22" x14ac:dyDescent="0.3">
      <c r="C14">
        <v>5</v>
      </c>
      <c r="D14">
        <f t="shared" si="10"/>
        <v>15000</v>
      </c>
      <c r="J14">
        <v>11</v>
      </c>
      <c r="K14">
        <f t="shared" si="0"/>
        <v>1001</v>
      </c>
      <c r="L14">
        <f t="shared" si="1"/>
        <v>501</v>
      </c>
      <c r="M14">
        <f>SUM(K4:K13)</f>
        <v>2035</v>
      </c>
      <c r="N14">
        <f>SUM(L4:L13)</f>
        <v>1020</v>
      </c>
      <c r="O14" s="41">
        <f t="shared" si="2"/>
        <v>17.593671209040679</v>
      </c>
      <c r="P14" s="41">
        <f t="shared" si="3"/>
        <v>18.143671209040679</v>
      </c>
      <c r="Q14" s="41">
        <f t="shared" si="4"/>
        <v>8.6455386776612669E-3</v>
      </c>
      <c r="R14">
        <f t="shared" si="5"/>
        <v>1800</v>
      </c>
      <c r="S14">
        <f t="shared" si="6"/>
        <v>3663000</v>
      </c>
      <c r="T14" s="41">
        <f t="shared" si="7"/>
        <v>1.7248697263765371E-2</v>
      </c>
      <c r="U14" s="41">
        <f t="shared" si="8"/>
        <v>8.9158089479315378E-3</v>
      </c>
      <c r="V14" s="41">
        <f t="shared" si="9"/>
        <v>1.7787912950039883E-2</v>
      </c>
    </row>
    <row r="15" spans="2:22" x14ac:dyDescent="0.3">
      <c r="C15">
        <v>6</v>
      </c>
      <c r="D15">
        <f t="shared" si="10"/>
        <v>17500</v>
      </c>
      <c r="J15">
        <v>12</v>
      </c>
      <c r="K15">
        <f t="shared" si="0"/>
        <v>1332</v>
      </c>
      <c r="L15">
        <f t="shared" si="1"/>
        <v>666</v>
      </c>
      <c r="M15">
        <f>SUM(K4:K14)</f>
        <v>3036</v>
      </c>
      <c r="N15">
        <f>SUM(L4:L14)</f>
        <v>1521</v>
      </c>
      <c r="O15" s="41">
        <f t="shared" si="2"/>
        <v>26.623828068826533</v>
      </c>
      <c r="P15" s="41">
        <f t="shared" si="3"/>
        <v>27.173828068826534</v>
      </c>
      <c r="Q15" s="41">
        <f t="shared" si="4"/>
        <v>8.7693768342643388E-3</v>
      </c>
      <c r="R15">
        <f t="shared" si="5"/>
        <v>1900</v>
      </c>
      <c r="S15">
        <f t="shared" si="6"/>
        <v>5768400</v>
      </c>
      <c r="T15" s="41">
        <f t="shared" si="7"/>
        <v>1.7504160466026649E-2</v>
      </c>
      <c r="U15" s="41">
        <f t="shared" si="8"/>
        <v>8.950536254554194E-3</v>
      </c>
      <c r="V15" s="41">
        <f t="shared" si="9"/>
        <v>1.7865764673784704E-2</v>
      </c>
    </row>
    <row r="16" spans="2:22" x14ac:dyDescent="0.3">
      <c r="C16">
        <v>7</v>
      </c>
      <c r="D16">
        <f t="shared" si="10"/>
        <v>20000</v>
      </c>
      <c r="J16">
        <v>13</v>
      </c>
      <c r="M16">
        <f>SUM(K4:K15)</f>
        <v>4368</v>
      </c>
      <c r="N16">
        <f>SUM(L4:L15)</f>
        <v>2187</v>
      </c>
      <c r="O16" s="41">
        <f t="shared" si="2"/>
        <v>38.700043908413448</v>
      </c>
      <c r="P16" s="41">
        <f t="shared" si="3"/>
        <v>39.250043908413446</v>
      </c>
      <c r="Q16" s="41">
        <f t="shared" si="4"/>
        <v>8.8599001621825664E-3</v>
      </c>
      <c r="R16">
        <f t="shared" si="5"/>
        <v>2000</v>
      </c>
      <c r="S16">
        <f t="shared" si="6"/>
        <v>8736000</v>
      </c>
      <c r="T16" s="41">
        <f t="shared" si="7"/>
        <v>1.7695493328035414E-2</v>
      </c>
      <c r="U16" s="41">
        <f t="shared" si="8"/>
        <v>8.9858159130983169E-3</v>
      </c>
      <c r="V16" s="41">
        <f>P16/N16</f>
        <v>1.7946979381990601E-2</v>
      </c>
    </row>
    <row r="17" spans="3:15" x14ac:dyDescent="0.3">
      <c r="C17">
        <v>8</v>
      </c>
      <c r="D17">
        <f t="shared" si="10"/>
        <v>22500</v>
      </c>
    </row>
    <row r="18" spans="3:15" x14ac:dyDescent="0.3">
      <c r="C18">
        <v>9</v>
      </c>
      <c r="D18">
        <f t="shared" si="10"/>
        <v>25000</v>
      </c>
    </row>
    <row r="19" spans="3:15" x14ac:dyDescent="0.3">
      <c r="C19">
        <v>10</v>
      </c>
      <c r="D19">
        <f>C19*5000-20000</f>
        <v>30000</v>
      </c>
    </row>
    <row r="20" spans="3:15" x14ac:dyDescent="0.3">
      <c r="C20">
        <v>11</v>
      </c>
      <c r="D20">
        <f t="shared" ref="D20:D58" si="11">C20*5000-20000</f>
        <v>35000</v>
      </c>
    </row>
    <row r="21" spans="3:15" x14ac:dyDescent="0.3">
      <c r="C21">
        <v>12</v>
      </c>
      <c r="D21">
        <f t="shared" si="11"/>
        <v>40000</v>
      </c>
    </row>
    <row r="22" spans="3:15" x14ac:dyDescent="0.3">
      <c r="C22">
        <v>13</v>
      </c>
      <c r="D22">
        <f t="shared" si="11"/>
        <v>45000</v>
      </c>
    </row>
    <row r="23" spans="3:15" x14ac:dyDescent="0.3">
      <c r="C23">
        <v>14</v>
      </c>
      <c r="D23">
        <f t="shared" si="11"/>
        <v>50000</v>
      </c>
    </row>
    <row r="24" spans="3:15" x14ac:dyDescent="0.3">
      <c r="C24">
        <v>15</v>
      </c>
      <c r="D24">
        <f t="shared" si="11"/>
        <v>55000</v>
      </c>
      <c r="H24" t="s">
        <v>493</v>
      </c>
      <c r="I24" t="s">
        <v>491</v>
      </c>
      <c r="J24" t="s">
        <v>485</v>
      </c>
    </row>
    <row r="25" spans="3:15" x14ac:dyDescent="0.3">
      <c r="C25">
        <v>16</v>
      </c>
      <c r="D25">
        <f t="shared" si="11"/>
        <v>60000</v>
      </c>
      <c r="I25" t="s">
        <v>494</v>
      </c>
      <c r="K25" t="s">
        <v>486</v>
      </c>
      <c r="M25" t="s">
        <v>487</v>
      </c>
      <c r="O25" t="s">
        <v>488</v>
      </c>
    </row>
    <row r="26" spans="3:15" x14ac:dyDescent="0.3">
      <c r="C26">
        <v>17</v>
      </c>
      <c r="D26">
        <f t="shared" si="11"/>
        <v>65000</v>
      </c>
      <c r="J26" t="s">
        <v>489</v>
      </c>
      <c r="K26" t="str">
        <f>I25&amp;K25&amp;J26</f>
        <v>通用重甲攻击套</v>
      </c>
      <c r="M26" t="str">
        <f>I25&amp;M25&amp;J26</f>
        <v>通用中甲攻击套</v>
      </c>
      <c r="O26" t="str">
        <f>I25&amp;O25&amp;J26</f>
        <v>通用轻甲攻击套</v>
      </c>
    </row>
    <row r="27" spans="3:15" x14ac:dyDescent="0.3">
      <c r="C27">
        <v>18</v>
      </c>
      <c r="D27">
        <f t="shared" si="11"/>
        <v>70000</v>
      </c>
      <c r="J27" t="s">
        <v>490</v>
      </c>
      <c r="K27" t="str">
        <f>I25&amp;K25&amp;J27</f>
        <v>通用重甲一般套</v>
      </c>
      <c r="M27" t="str">
        <f>I25&amp;M25&amp;J27</f>
        <v>通用中甲一般套</v>
      </c>
      <c r="O27" t="str">
        <f>I25&amp;O25&amp;J27</f>
        <v>通用轻甲一般套</v>
      </c>
    </row>
    <row r="28" spans="3:15" x14ac:dyDescent="0.3">
      <c r="C28">
        <v>19</v>
      </c>
      <c r="D28">
        <f t="shared" si="11"/>
        <v>75000</v>
      </c>
      <c r="J28" t="s">
        <v>499</v>
      </c>
      <c r="K28" t="str">
        <f>I25&amp;K25&amp;J28</f>
        <v>通用重甲物防套</v>
      </c>
      <c r="M28" t="str">
        <f>I25&amp;M25&amp;J28</f>
        <v>通用中甲物防套</v>
      </c>
      <c r="O28" t="str">
        <f>I25&amp;O25&amp;J28</f>
        <v>通用轻甲物防套</v>
      </c>
    </row>
    <row r="29" spans="3:15" x14ac:dyDescent="0.3">
      <c r="C29">
        <v>20</v>
      </c>
      <c r="D29">
        <f t="shared" si="11"/>
        <v>80000</v>
      </c>
      <c r="J29" t="s">
        <v>500</v>
      </c>
      <c r="K29" t="str">
        <f>I25&amp;K25&amp;J29</f>
        <v>通用重甲魔抗套</v>
      </c>
      <c r="M29" t="str">
        <f>I25&amp;M25&amp;J29</f>
        <v>通用中甲魔抗套</v>
      </c>
      <c r="O29" t="str">
        <f>I25&amp;O25&amp;J29</f>
        <v>通用轻甲魔抗套</v>
      </c>
    </row>
    <row r="30" spans="3:15" x14ac:dyDescent="0.3">
      <c r="C30">
        <v>21</v>
      </c>
      <c r="D30">
        <f t="shared" si="11"/>
        <v>85000</v>
      </c>
      <c r="J30" t="s">
        <v>501</v>
      </c>
      <c r="K30" t="str">
        <f>I25&amp;K25&amp;J30</f>
        <v>通用重甲血防套</v>
      </c>
      <c r="M30" t="str">
        <f>I25&amp;M25&amp;J30</f>
        <v>通用中甲血防套</v>
      </c>
      <c r="O30" t="str">
        <f>I25&amp;O25&amp;J30</f>
        <v>通用轻甲血防套</v>
      </c>
    </row>
    <row r="31" spans="3:15" x14ac:dyDescent="0.3">
      <c r="C31">
        <v>22</v>
      </c>
      <c r="D31">
        <f t="shared" si="11"/>
        <v>90000</v>
      </c>
      <c r="I31" t="s">
        <v>492</v>
      </c>
      <c r="K31" t="s">
        <v>486</v>
      </c>
      <c r="M31" t="s">
        <v>487</v>
      </c>
      <c r="O31" t="s">
        <v>488</v>
      </c>
    </row>
    <row r="32" spans="3:15" x14ac:dyDescent="0.3">
      <c r="C32">
        <v>23</v>
      </c>
      <c r="D32">
        <f t="shared" si="11"/>
        <v>95000</v>
      </c>
      <c r="J32" t="s">
        <v>489</v>
      </c>
      <c r="K32" t="str">
        <f>I31&amp;K31&amp;J32</f>
        <v>刀剑重甲攻击套</v>
      </c>
      <c r="M32" t="str">
        <f>I31&amp;M31&amp;J32</f>
        <v>刀剑中甲攻击套</v>
      </c>
      <c r="O32" t="str">
        <f>I31&amp;O31&amp;J32</f>
        <v>刀剑轻甲攻击套</v>
      </c>
    </row>
    <row r="33" spans="3:15" x14ac:dyDescent="0.3">
      <c r="C33">
        <v>24</v>
      </c>
      <c r="D33">
        <f t="shared" si="11"/>
        <v>100000</v>
      </c>
      <c r="J33" t="s">
        <v>490</v>
      </c>
      <c r="K33" t="str">
        <f>I31&amp;K31&amp;J33</f>
        <v>刀剑重甲一般套</v>
      </c>
      <c r="M33" t="str">
        <f>I31&amp;M31&amp;J33</f>
        <v>刀剑中甲一般套</v>
      </c>
      <c r="O33" t="str">
        <f>I31&amp;O31&amp;J33</f>
        <v>刀剑轻甲一般套</v>
      </c>
    </row>
    <row r="34" spans="3:15" x14ac:dyDescent="0.3">
      <c r="C34">
        <v>25</v>
      </c>
      <c r="D34">
        <f t="shared" si="11"/>
        <v>105000</v>
      </c>
      <c r="J34" t="s">
        <v>499</v>
      </c>
      <c r="K34" t="str">
        <f>I31&amp;K31&amp;J34</f>
        <v>刀剑重甲物防套</v>
      </c>
      <c r="M34" t="str">
        <f>I31&amp;M31&amp;J34</f>
        <v>刀剑中甲物防套</v>
      </c>
      <c r="O34" t="str">
        <f>I31&amp;O31&amp;J34</f>
        <v>刀剑轻甲物防套</v>
      </c>
    </row>
    <row r="35" spans="3:15" x14ac:dyDescent="0.3">
      <c r="C35">
        <v>26</v>
      </c>
      <c r="D35">
        <f t="shared" si="11"/>
        <v>110000</v>
      </c>
      <c r="J35" t="s">
        <v>500</v>
      </c>
      <c r="K35" t="str">
        <f>I31&amp;K31&amp;J35</f>
        <v>刀剑重甲魔抗套</v>
      </c>
      <c r="M35" t="str">
        <f>I31&amp;M31&amp;J35</f>
        <v>刀剑中甲魔抗套</v>
      </c>
      <c r="O35" t="str">
        <f>I31&amp;O31&amp;J35</f>
        <v>刀剑轻甲魔抗套</v>
      </c>
    </row>
    <row r="36" spans="3:15" x14ac:dyDescent="0.3">
      <c r="C36">
        <v>27</v>
      </c>
      <c r="D36">
        <f t="shared" si="11"/>
        <v>115000</v>
      </c>
      <c r="J36" t="s">
        <v>501</v>
      </c>
      <c r="K36" t="str">
        <f>I31&amp;K31&amp;J36</f>
        <v>刀剑重甲血防套</v>
      </c>
      <c r="M36" t="str">
        <f>I31&amp;M31&amp;J36</f>
        <v>刀剑中甲血防套</v>
      </c>
      <c r="O36" t="str">
        <f>I31&amp;O31&amp;J36</f>
        <v>刀剑轻甲血防套</v>
      </c>
    </row>
    <row r="37" spans="3:15" x14ac:dyDescent="0.3">
      <c r="C37">
        <v>28</v>
      </c>
      <c r="D37">
        <f t="shared" si="11"/>
        <v>120000</v>
      </c>
      <c r="I37" t="s">
        <v>495</v>
      </c>
      <c r="K37" t="s">
        <v>486</v>
      </c>
      <c r="M37" t="s">
        <v>487</v>
      </c>
      <c r="O37" t="s">
        <v>488</v>
      </c>
    </row>
    <row r="38" spans="3:15" x14ac:dyDescent="0.3">
      <c r="C38">
        <v>29</v>
      </c>
      <c r="D38">
        <f t="shared" si="11"/>
        <v>125000</v>
      </c>
      <c r="J38" t="s">
        <v>489</v>
      </c>
      <c r="K38" t="str">
        <f>I37&amp;K37&amp;J38</f>
        <v>枪械重甲攻击套</v>
      </c>
      <c r="M38" t="str">
        <f>I37&amp;M37&amp;J38</f>
        <v>枪械中甲攻击套</v>
      </c>
      <c r="O38" t="str">
        <f>I37&amp;O37&amp;J38</f>
        <v>枪械轻甲攻击套</v>
      </c>
    </row>
    <row r="39" spans="3:15" x14ac:dyDescent="0.3">
      <c r="C39">
        <v>30</v>
      </c>
      <c r="D39">
        <f t="shared" si="11"/>
        <v>130000</v>
      </c>
      <c r="J39" t="s">
        <v>490</v>
      </c>
      <c r="K39" t="str">
        <f>I37&amp;K37&amp;J39</f>
        <v>枪械重甲一般套</v>
      </c>
      <c r="M39" t="str">
        <f>I37&amp;M37&amp;J39</f>
        <v>枪械中甲一般套</v>
      </c>
      <c r="O39" t="str">
        <f>I37&amp;O37&amp;J39</f>
        <v>枪械轻甲一般套</v>
      </c>
    </row>
    <row r="40" spans="3:15" x14ac:dyDescent="0.3">
      <c r="C40">
        <v>31</v>
      </c>
      <c r="D40">
        <f t="shared" si="11"/>
        <v>135000</v>
      </c>
      <c r="J40" t="s">
        <v>499</v>
      </c>
      <c r="K40" t="str">
        <f>I37&amp;K37&amp;J40</f>
        <v>枪械重甲物防套</v>
      </c>
      <c r="M40" t="str">
        <f>I37&amp;M37&amp;J40</f>
        <v>枪械中甲物防套</v>
      </c>
      <c r="O40" t="str">
        <f>I37&amp;O37&amp;J40</f>
        <v>枪械轻甲物防套</v>
      </c>
    </row>
    <row r="41" spans="3:15" x14ac:dyDescent="0.3">
      <c r="C41">
        <v>32</v>
      </c>
      <c r="D41">
        <f t="shared" si="11"/>
        <v>140000</v>
      </c>
      <c r="J41" t="s">
        <v>500</v>
      </c>
      <c r="K41" t="str">
        <f>I37&amp;K37&amp;J41</f>
        <v>枪械重甲魔抗套</v>
      </c>
      <c r="M41" t="str">
        <f>I37&amp;M37&amp;J41</f>
        <v>枪械中甲魔抗套</v>
      </c>
      <c r="O41" t="str">
        <f>I37&amp;O37&amp;J41</f>
        <v>枪械轻甲魔抗套</v>
      </c>
    </row>
    <row r="42" spans="3:15" x14ac:dyDescent="0.3">
      <c r="C42">
        <v>33</v>
      </c>
      <c r="D42">
        <f t="shared" si="11"/>
        <v>145000</v>
      </c>
      <c r="J42" t="s">
        <v>501</v>
      </c>
      <c r="K42" t="str">
        <f>I37&amp;K37&amp;J42</f>
        <v>枪械重甲血防套</v>
      </c>
      <c r="M42" t="str">
        <f>I37&amp;M37&amp;J42</f>
        <v>枪械中甲血防套</v>
      </c>
      <c r="O42" t="str">
        <f>I37&amp;O37&amp;J42</f>
        <v>枪械轻甲血防套</v>
      </c>
    </row>
    <row r="43" spans="3:15" x14ac:dyDescent="0.3">
      <c r="C43">
        <v>34</v>
      </c>
      <c r="D43">
        <f>C43*5000-20000</f>
        <v>150000</v>
      </c>
      <c r="I43" t="s">
        <v>496</v>
      </c>
      <c r="K43" t="s">
        <v>486</v>
      </c>
      <c r="M43" t="s">
        <v>487</v>
      </c>
      <c r="O43" t="s">
        <v>488</v>
      </c>
    </row>
    <row r="44" spans="3:15" x14ac:dyDescent="0.3">
      <c r="C44">
        <v>35</v>
      </c>
      <c r="D44">
        <f t="shared" si="11"/>
        <v>155000</v>
      </c>
      <c r="J44" t="s">
        <v>489</v>
      </c>
      <c r="K44" t="str">
        <f>I43&amp;K43&amp;J44</f>
        <v>拳皇重甲攻击套</v>
      </c>
      <c r="M44" t="str">
        <f>I43&amp;M43&amp;J44</f>
        <v>拳皇中甲攻击套</v>
      </c>
      <c r="O44" t="str">
        <f>I43&amp;O43&amp;J44</f>
        <v>拳皇轻甲攻击套</v>
      </c>
    </row>
    <row r="45" spans="3:15" x14ac:dyDescent="0.3">
      <c r="C45">
        <v>36</v>
      </c>
      <c r="D45">
        <f t="shared" si="11"/>
        <v>160000</v>
      </c>
      <c r="J45" t="s">
        <v>490</v>
      </c>
      <c r="K45" t="str">
        <f>I43&amp;K43&amp;J45</f>
        <v>拳皇重甲一般套</v>
      </c>
      <c r="M45" t="str">
        <f>I43&amp;M43&amp;J45</f>
        <v>拳皇中甲一般套</v>
      </c>
      <c r="O45" t="str">
        <f>I43&amp;O43&amp;J45</f>
        <v>拳皇轻甲一般套</v>
      </c>
    </row>
    <row r="46" spans="3:15" x14ac:dyDescent="0.3">
      <c r="C46">
        <v>37</v>
      </c>
      <c r="D46">
        <f t="shared" si="11"/>
        <v>165000</v>
      </c>
      <c r="J46" t="s">
        <v>499</v>
      </c>
      <c r="K46" t="str">
        <f>I43&amp;K43&amp;J46</f>
        <v>拳皇重甲物防套</v>
      </c>
      <c r="M46" t="str">
        <f>I43&amp;M43&amp;J46</f>
        <v>拳皇中甲物防套</v>
      </c>
      <c r="O46" t="str">
        <f>I43&amp;O43&amp;J46</f>
        <v>拳皇轻甲物防套</v>
      </c>
    </row>
    <row r="47" spans="3:15" x14ac:dyDescent="0.3">
      <c r="C47">
        <v>38</v>
      </c>
      <c r="D47">
        <f t="shared" si="11"/>
        <v>170000</v>
      </c>
      <c r="J47" t="s">
        <v>500</v>
      </c>
      <c r="K47" t="str">
        <f>I43&amp;K43&amp;J47</f>
        <v>拳皇重甲魔抗套</v>
      </c>
      <c r="M47" t="str">
        <f>I43&amp;M43&amp;J47</f>
        <v>拳皇中甲魔抗套</v>
      </c>
      <c r="O47" t="str">
        <f>I43&amp;O43&amp;J47</f>
        <v>拳皇轻甲魔抗套</v>
      </c>
    </row>
    <row r="48" spans="3:15" x14ac:dyDescent="0.3">
      <c r="C48">
        <v>39</v>
      </c>
      <c r="D48">
        <f t="shared" si="11"/>
        <v>175000</v>
      </c>
      <c r="J48" t="s">
        <v>501</v>
      </c>
      <c r="K48" t="str">
        <f>I43&amp;K43&amp;J48</f>
        <v>拳皇重甲血防套</v>
      </c>
      <c r="M48" t="str">
        <f>I43&amp;M43&amp;J48</f>
        <v>拳皇中甲血防套</v>
      </c>
      <c r="O48" t="str">
        <f>I43&amp;O43&amp;J48</f>
        <v>拳皇轻甲血防套</v>
      </c>
    </row>
    <row r="49" spans="3:15" x14ac:dyDescent="0.3">
      <c r="C49">
        <v>40</v>
      </c>
      <c r="D49">
        <f t="shared" si="11"/>
        <v>180000</v>
      </c>
      <c r="I49" t="s">
        <v>497</v>
      </c>
      <c r="K49" t="s">
        <v>486</v>
      </c>
      <c r="M49" t="s">
        <v>487</v>
      </c>
      <c r="O49" t="s">
        <v>488</v>
      </c>
    </row>
    <row r="50" spans="3:15" x14ac:dyDescent="0.3">
      <c r="C50">
        <v>41</v>
      </c>
      <c r="D50">
        <f t="shared" si="11"/>
        <v>185000</v>
      </c>
      <c r="J50" t="s">
        <v>489</v>
      </c>
      <c r="K50" t="str">
        <f>I49&amp;K49&amp;J50</f>
        <v>刀内力重甲攻击套</v>
      </c>
      <c r="M50" t="str">
        <f>I49&amp;M49&amp;J50</f>
        <v>刀内力中甲攻击套</v>
      </c>
      <c r="O50" t="str">
        <f>I49&amp;O49&amp;J50</f>
        <v>刀内力轻甲攻击套</v>
      </c>
    </row>
    <row r="51" spans="3:15" x14ac:dyDescent="0.3">
      <c r="C51">
        <v>42</v>
      </c>
      <c r="D51">
        <f t="shared" si="11"/>
        <v>190000</v>
      </c>
      <c r="J51" t="s">
        <v>490</v>
      </c>
      <c r="K51" t="str">
        <f>I49&amp;K49&amp;J51</f>
        <v>刀内力重甲一般套</v>
      </c>
      <c r="M51" t="str">
        <f>I49&amp;M49&amp;J51</f>
        <v>刀内力中甲一般套</v>
      </c>
      <c r="O51" t="str">
        <f>I49&amp;O49&amp;J51</f>
        <v>刀内力轻甲一般套</v>
      </c>
    </row>
    <row r="52" spans="3:15" x14ac:dyDescent="0.3">
      <c r="C52">
        <v>43</v>
      </c>
      <c r="D52">
        <f t="shared" si="11"/>
        <v>195000</v>
      </c>
      <c r="J52" t="s">
        <v>499</v>
      </c>
      <c r="K52" t="str">
        <f>I49&amp;K49&amp;J52</f>
        <v>刀内力重甲物防套</v>
      </c>
      <c r="M52" t="str">
        <f>I49&amp;M49&amp;J52</f>
        <v>刀内力中甲物防套</v>
      </c>
      <c r="O52" t="str">
        <f>I49&amp;O49&amp;J52</f>
        <v>刀内力轻甲物防套</v>
      </c>
    </row>
    <row r="53" spans="3:15" x14ac:dyDescent="0.3">
      <c r="C53">
        <v>44</v>
      </c>
      <c r="D53">
        <f t="shared" si="11"/>
        <v>200000</v>
      </c>
      <c r="J53" t="s">
        <v>500</v>
      </c>
      <c r="K53" t="str">
        <f>I49&amp;K49&amp;J53</f>
        <v>刀内力重甲魔抗套</v>
      </c>
      <c r="M53" t="str">
        <f>I49&amp;M49&amp;J53</f>
        <v>刀内力中甲魔抗套</v>
      </c>
      <c r="O53" t="str">
        <f>I49&amp;O49&amp;J53</f>
        <v>刀内力轻甲魔抗套</v>
      </c>
    </row>
    <row r="54" spans="3:15" x14ac:dyDescent="0.3">
      <c r="C54">
        <v>45</v>
      </c>
      <c r="D54">
        <f t="shared" si="11"/>
        <v>205000</v>
      </c>
      <c r="J54" t="s">
        <v>501</v>
      </c>
      <c r="K54" t="str">
        <f>I49&amp;K49&amp;J54</f>
        <v>刀内力重甲血防套</v>
      </c>
      <c r="M54" t="str">
        <f>I49&amp;M49&amp;J54</f>
        <v>刀内力中甲血防套</v>
      </c>
      <c r="O54" t="str">
        <f>I49&amp;O49&amp;J54</f>
        <v>刀内力轻甲血防套</v>
      </c>
    </row>
    <row r="55" spans="3:15" x14ac:dyDescent="0.3">
      <c r="C55">
        <v>46</v>
      </c>
      <c r="D55">
        <f t="shared" si="11"/>
        <v>210000</v>
      </c>
      <c r="I55" t="s">
        <v>498</v>
      </c>
      <c r="K55" t="s">
        <v>486</v>
      </c>
      <c r="M55" t="s">
        <v>487</v>
      </c>
      <c r="O55" t="s">
        <v>488</v>
      </c>
    </row>
    <row r="56" spans="3:15" x14ac:dyDescent="0.3">
      <c r="C56">
        <v>47</v>
      </c>
      <c r="D56">
        <f t="shared" si="11"/>
        <v>215000</v>
      </c>
      <c r="J56" t="s">
        <v>489</v>
      </c>
      <c r="K56" t="str">
        <f>I55&amp;K55&amp;J56</f>
        <v>拳内力重甲攻击套</v>
      </c>
      <c r="M56" t="str">
        <f>I55&amp;M55&amp;J56</f>
        <v>拳内力中甲攻击套</v>
      </c>
      <c r="O56" t="str">
        <f>I55&amp;O55&amp;J56</f>
        <v>拳内力轻甲攻击套</v>
      </c>
    </row>
    <row r="57" spans="3:15" x14ac:dyDescent="0.3">
      <c r="C57">
        <v>48</v>
      </c>
      <c r="D57">
        <f t="shared" si="11"/>
        <v>220000</v>
      </c>
      <c r="J57" t="s">
        <v>490</v>
      </c>
      <c r="K57" t="str">
        <f>I55&amp;K55&amp;J57</f>
        <v>拳内力重甲一般套</v>
      </c>
      <c r="M57" t="str">
        <f>I55&amp;M55&amp;J57</f>
        <v>拳内力中甲一般套</v>
      </c>
      <c r="O57" t="str">
        <f>I55&amp;O55&amp;J57</f>
        <v>拳内力轻甲一般套</v>
      </c>
    </row>
    <row r="58" spans="3:15" x14ac:dyDescent="0.3">
      <c r="C58">
        <v>49</v>
      </c>
      <c r="D58">
        <f t="shared" si="11"/>
        <v>225000</v>
      </c>
      <c r="J58" t="s">
        <v>499</v>
      </c>
      <c r="K58" t="str">
        <f>I55&amp;K55&amp;J58</f>
        <v>拳内力重甲物防套</v>
      </c>
      <c r="M58" t="str">
        <f>I55&amp;M55&amp;J58</f>
        <v>拳内力中甲物防套</v>
      </c>
      <c r="O58" t="str">
        <f>I55&amp;O55&amp;J58</f>
        <v>拳内力轻甲物防套</v>
      </c>
    </row>
    <row r="59" spans="3:15" x14ac:dyDescent="0.3">
      <c r="C59">
        <v>50</v>
      </c>
      <c r="D59">
        <f t="shared" ref="D59:D64" si="12">C59*25000-1000000</f>
        <v>250000</v>
      </c>
      <c r="J59" t="s">
        <v>500</v>
      </c>
      <c r="K59" t="str">
        <f>I55&amp;K55&amp;J59</f>
        <v>拳内力重甲魔抗套</v>
      </c>
      <c r="M59" t="str">
        <f>I55&amp;M55&amp;J59</f>
        <v>拳内力中甲魔抗套</v>
      </c>
      <c r="O59" t="str">
        <f>I55&amp;O55&amp;J59</f>
        <v>拳内力轻甲魔抗套</v>
      </c>
    </row>
    <row r="60" spans="3:15" x14ac:dyDescent="0.3">
      <c r="C60">
        <v>51</v>
      </c>
      <c r="D60">
        <f t="shared" si="12"/>
        <v>275000</v>
      </c>
      <c r="J60" t="s">
        <v>501</v>
      </c>
      <c r="K60" t="str">
        <f>I55&amp;K55&amp;J60</f>
        <v>拳内力重甲血防套</v>
      </c>
      <c r="M60" t="str">
        <f>I55&amp;M55&amp;J60</f>
        <v>拳内力中甲血防套</v>
      </c>
      <c r="O60" t="str">
        <f>I55&amp;O55&amp;J60</f>
        <v>拳内力轻甲血防套</v>
      </c>
    </row>
    <row r="61" spans="3:15" x14ac:dyDescent="0.3">
      <c r="C61">
        <v>52</v>
      </c>
      <c r="D61">
        <f t="shared" si="12"/>
        <v>300000</v>
      </c>
    </row>
    <row r="62" spans="3:15" x14ac:dyDescent="0.3">
      <c r="C62">
        <v>53</v>
      </c>
      <c r="D62">
        <f t="shared" si="12"/>
        <v>325000</v>
      </c>
    </row>
    <row r="63" spans="3:15" x14ac:dyDescent="0.3">
      <c r="C63">
        <v>54</v>
      </c>
      <c r="D63">
        <f t="shared" si="12"/>
        <v>350000</v>
      </c>
    </row>
    <row r="64" spans="3:15" x14ac:dyDescent="0.3">
      <c r="C64">
        <v>55</v>
      </c>
      <c r="D64">
        <f t="shared" si="12"/>
        <v>375000</v>
      </c>
    </row>
    <row r="65" spans="3:4" x14ac:dyDescent="0.3">
      <c r="C65">
        <v>56</v>
      </c>
      <c r="D65">
        <f t="shared" ref="D65:D109" si="13">C65*25000-1000000</f>
        <v>400000</v>
      </c>
    </row>
    <row r="66" spans="3:4" x14ac:dyDescent="0.3">
      <c r="C66">
        <v>57</v>
      </c>
      <c r="D66">
        <f t="shared" si="13"/>
        <v>425000</v>
      </c>
    </row>
    <row r="67" spans="3:4" x14ac:dyDescent="0.3">
      <c r="C67">
        <v>58</v>
      </c>
      <c r="D67">
        <f t="shared" si="13"/>
        <v>450000</v>
      </c>
    </row>
    <row r="68" spans="3:4" x14ac:dyDescent="0.3">
      <c r="C68">
        <v>59</v>
      </c>
      <c r="D68">
        <f t="shared" si="13"/>
        <v>475000</v>
      </c>
    </row>
    <row r="69" spans="3:4" x14ac:dyDescent="0.3">
      <c r="C69">
        <v>60</v>
      </c>
      <c r="D69">
        <f t="shared" si="13"/>
        <v>500000</v>
      </c>
    </row>
    <row r="70" spans="3:4" x14ac:dyDescent="0.3">
      <c r="C70">
        <v>61</v>
      </c>
      <c r="D70">
        <f t="shared" si="13"/>
        <v>525000</v>
      </c>
    </row>
    <row r="71" spans="3:4" x14ac:dyDescent="0.3">
      <c r="C71">
        <v>62</v>
      </c>
      <c r="D71">
        <f t="shared" si="13"/>
        <v>550000</v>
      </c>
    </row>
    <row r="72" spans="3:4" x14ac:dyDescent="0.3">
      <c r="C72">
        <v>63</v>
      </c>
      <c r="D72">
        <f t="shared" si="13"/>
        <v>575000</v>
      </c>
    </row>
    <row r="73" spans="3:4" x14ac:dyDescent="0.3">
      <c r="C73">
        <v>64</v>
      </c>
      <c r="D73">
        <f t="shared" si="13"/>
        <v>600000</v>
      </c>
    </row>
    <row r="74" spans="3:4" x14ac:dyDescent="0.3">
      <c r="C74">
        <v>65</v>
      </c>
      <c r="D74">
        <f t="shared" si="13"/>
        <v>625000</v>
      </c>
    </row>
    <row r="75" spans="3:4" x14ac:dyDescent="0.3">
      <c r="C75">
        <v>66</v>
      </c>
      <c r="D75">
        <f t="shared" si="13"/>
        <v>650000</v>
      </c>
    </row>
    <row r="76" spans="3:4" x14ac:dyDescent="0.3">
      <c r="C76">
        <v>67</v>
      </c>
      <c r="D76">
        <f t="shared" si="13"/>
        <v>675000</v>
      </c>
    </row>
    <row r="77" spans="3:4" x14ac:dyDescent="0.3">
      <c r="C77">
        <v>68</v>
      </c>
      <c r="D77">
        <f t="shared" si="13"/>
        <v>700000</v>
      </c>
    </row>
    <row r="78" spans="3:4" x14ac:dyDescent="0.3">
      <c r="C78">
        <v>69</v>
      </c>
      <c r="D78">
        <f t="shared" si="13"/>
        <v>725000</v>
      </c>
    </row>
    <row r="79" spans="3:4" x14ac:dyDescent="0.3">
      <c r="C79">
        <v>70</v>
      </c>
      <c r="D79">
        <f>C79*25000-1000000</f>
        <v>750000</v>
      </c>
    </row>
    <row r="80" spans="3:4" x14ac:dyDescent="0.3">
      <c r="C80">
        <v>71</v>
      </c>
      <c r="D80">
        <f t="shared" si="13"/>
        <v>775000</v>
      </c>
    </row>
    <row r="81" spans="3:4" x14ac:dyDescent="0.3">
      <c r="C81">
        <v>72</v>
      </c>
      <c r="D81">
        <f t="shared" si="13"/>
        <v>800000</v>
      </c>
    </row>
    <row r="82" spans="3:4" x14ac:dyDescent="0.3">
      <c r="C82">
        <v>73</v>
      </c>
      <c r="D82">
        <f t="shared" si="13"/>
        <v>825000</v>
      </c>
    </row>
    <row r="83" spans="3:4" x14ac:dyDescent="0.3">
      <c r="C83">
        <v>74</v>
      </c>
      <c r="D83">
        <f t="shared" si="13"/>
        <v>850000</v>
      </c>
    </row>
    <row r="84" spans="3:4" x14ac:dyDescent="0.3">
      <c r="C84">
        <v>75</v>
      </c>
      <c r="D84">
        <f t="shared" si="13"/>
        <v>875000</v>
      </c>
    </row>
    <row r="85" spans="3:4" x14ac:dyDescent="0.3">
      <c r="C85">
        <v>76</v>
      </c>
      <c r="D85">
        <f t="shared" si="13"/>
        <v>900000</v>
      </c>
    </row>
    <row r="86" spans="3:4" x14ac:dyDescent="0.3">
      <c r="C86">
        <v>77</v>
      </c>
      <c r="D86">
        <f t="shared" si="13"/>
        <v>925000</v>
      </c>
    </row>
    <row r="87" spans="3:4" x14ac:dyDescent="0.3">
      <c r="C87">
        <v>78</v>
      </c>
      <c r="D87">
        <f t="shared" si="13"/>
        <v>950000</v>
      </c>
    </row>
    <row r="88" spans="3:4" x14ac:dyDescent="0.3">
      <c r="C88">
        <v>79</v>
      </c>
      <c r="D88">
        <f t="shared" si="13"/>
        <v>975000</v>
      </c>
    </row>
    <row r="89" spans="3:4" x14ac:dyDescent="0.3">
      <c r="C89">
        <v>80</v>
      </c>
      <c r="D89">
        <f t="shared" si="13"/>
        <v>1000000</v>
      </c>
    </row>
    <row r="90" spans="3:4" x14ac:dyDescent="0.3">
      <c r="C90">
        <v>81</v>
      </c>
      <c r="D90">
        <f t="shared" si="13"/>
        <v>1025000</v>
      </c>
    </row>
    <row r="91" spans="3:4" x14ac:dyDescent="0.3">
      <c r="C91">
        <v>82</v>
      </c>
      <c r="D91">
        <f t="shared" si="13"/>
        <v>1050000</v>
      </c>
    </row>
    <row r="92" spans="3:4" x14ac:dyDescent="0.3">
      <c r="C92">
        <v>83</v>
      </c>
      <c r="D92">
        <f t="shared" si="13"/>
        <v>1075000</v>
      </c>
    </row>
    <row r="93" spans="3:4" x14ac:dyDescent="0.3">
      <c r="C93">
        <v>84</v>
      </c>
      <c r="D93">
        <f t="shared" si="13"/>
        <v>1100000</v>
      </c>
    </row>
    <row r="94" spans="3:4" x14ac:dyDescent="0.3">
      <c r="C94">
        <v>85</v>
      </c>
      <c r="D94">
        <f t="shared" si="13"/>
        <v>1125000</v>
      </c>
    </row>
    <row r="95" spans="3:4" x14ac:dyDescent="0.3">
      <c r="C95">
        <v>86</v>
      </c>
      <c r="D95">
        <f t="shared" si="13"/>
        <v>1150000</v>
      </c>
    </row>
    <row r="96" spans="3:4" x14ac:dyDescent="0.3">
      <c r="C96">
        <v>87</v>
      </c>
      <c r="D96">
        <f t="shared" si="13"/>
        <v>1175000</v>
      </c>
    </row>
    <row r="97" spans="3:4" x14ac:dyDescent="0.3">
      <c r="C97">
        <v>88</v>
      </c>
      <c r="D97">
        <f t="shared" si="13"/>
        <v>1200000</v>
      </c>
    </row>
    <row r="98" spans="3:4" x14ac:dyDescent="0.3">
      <c r="C98">
        <v>89</v>
      </c>
      <c r="D98">
        <f t="shared" si="13"/>
        <v>1225000</v>
      </c>
    </row>
    <row r="99" spans="3:4" x14ac:dyDescent="0.3">
      <c r="C99">
        <v>90</v>
      </c>
      <c r="D99">
        <f t="shared" si="13"/>
        <v>1250000</v>
      </c>
    </row>
    <row r="100" spans="3:4" x14ac:dyDescent="0.3">
      <c r="C100">
        <v>91</v>
      </c>
      <c r="D100">
        <f t="shared" si="13"/>
        <v>1275000</v>
      </c>
    </row>
    <row r="101" spans="3:4" x14ac:dyDescent="0.3">
      <c r="C101">
        <v>92</v>
      </c>
      <c r="D101">
        <f t="shared" si="13"/>
        <v>1300000</v>
      </c>
    </row>
    <row r="102" spans="3:4" x14ac:dyDescent="0.3">
      <c r="C102">
        <v>93</v>
      </c>
      <c r="D102">
        <f t="shared" si="13"/>
        <v>1325000</v>
      </c>
    </row>
    <row r="103" spans="3:4" x14ac:dyDescent="0.3">
      <c r="C103">
        <v>94</v>
      </c>
      <c r="D103">
        <f t="shared" si="13"/>
        <v>1350000</v>
      </c>
    </row>
    <row r="104" spans="3:4" x14ac:dyDescent="0.3">
      <c r="C104">
        <v>95</v>
      </c>
      <c r="D104">
        <f t="shared" si="13"/>
        <v>1375000</v>
      </c>
    </row>
    <row r="105" spans="3:4" x14ac:dyDescent="0.3">
      <c r="C105">
        <v>96</v>
      </c>
      <c r="D105">
        <f t="shared" si="13"/>
        <v>1400000</v>
      </c>
    </row>
    <row r="106" spans="3:4" x14ac:dyDescent="0.3">
      <c r="C106">
        <v>97</v>
      </c>
      <c r="D106">
        <f t="shared" si="13"/>
        <v>1425000</v>
      </c>
    </row>
    <row r="107" spans="3:4" x14ac:dyDescent="0.3">
      <c r="C107">
        <v>98</v>
      </c>
      <c r="D107">
        <f t="shared" si="13"/>
        <v>1450000</v>
      </c>
    </row>
    <row r="108" spans="3:4" x14ac:dyDescent="0.3">
      <c r="C108">
        <v>99</v>
      </c>
      <c r="D108">
        <f t="shared" si="13"/>
        <v>1475000</v>
      </c>
    </row>
    <row r="109" spans="3:4" x14ac:dyDescent="0.3">
      <c r="C109">
        <v>100</v>
      </c>
      <c r="D109">
        <f t="shared" si="13"/>
        <v>1500000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 x14ac:dyDescent="0.3"/>
  <cols>
    <col min="2" max="2" width="17.5" customWidth="1"/>
    <col min="3" max="3" width="9.1640625" customWidth="1"/>
    <col min="4" max="4" width="15" customWidth="1"/>
    <col min="5" max="5" width="8" customWidth="1"/>
    <col min="6" max="6" width="10.1640625" customWidth="1"/>
    <col min="7" max="7" width="6.75" customWidth="1"/>
    <col min="8" max="8" width="8.08203125" customWidth="1"/>
    <col min="9" max="9" width="7.83203125" customWidth="1"/>
    <col min="10" max="10" width="7.75" customWidth="1"/>
    <col min="11" max="11" width="7.6640625" customWidth="1"/>
    <col min="12" max="12" width="8.33203125" customWidth="1"/>
    <col min="13" max="13" width="12.08203125" customWidth="1"/>
    <col min="22" max="22" width="10.6640625" customWidth="1"/>
  </cols>
  <sheetData>
    <row r="1" spans="2:23" x14ac:dyDescent="0.3">
      <c r="C1" s="29" t="s">
        <v>256</v>
      </c>
    </row>
    <row r="2" spans="2:23" x14ac:dyDescent="0.3">
      <c r="C2" s="2" t="s">
        <v>257</v>
      </c>
    </row>
    <row r="3" spans="2:23" x14ac:dyDescent="0.3">
      <c r="B3" t="s">
        <v>0</v>
      </c>
      <c r="E3" t="s">
        <v>42</v>
      </c>
      <c r="F3" t="s">
        <v>43</v>
      </c>
      <c r="G3" t="s">
        <v>44</v>
      </c>
      <c r="I3" t="s">
        <v>45</v>
      </c>
      <c r="L3" t="s">
        <v>41</v>
      </c>
      <c r="M3" t="s">
        <v>161</v>
      </c>
      <c r="O3" t="s">
        <v>55</v>
      </c>
      <c r="T3" t="s">
        <v>50</v>
      </c>
    </row>
    <row r="4" spans="2:23" x14ac:dyDescent="0.3">
      <c r="B4" t="s">
        <v>23</v>
      </c>
      <c r="C4" s="10" t="s">
        <v>48</v>
      </c>
      <c r="D4" s="10" t="s">
        <v>49</v>
      </c>
      <c r="E4" s="8" t="s">
        <v>1</v>
      </c>
      <c r="F4" s="8" t="s">
        <v>2</v>
      </c>
      <c r="G4" s="8" t="s">
        <v>3</v>
      </c>
      <c r="H4" s="8" t="s">
        <v>10</v>
      </c>
      <c r="I4" s="8" t="s">
        <v>14</v>
      </c>
      <c r="J4" s="9" t="s">
        <v>6</v>
      </c>
      <c r="K4" s="9" t="s">
        <v>4</v>
      </c>
      <c r="L4" s="8" t="s">
        <v>158</v>
      </c>
      <c r="M4" s="8" t="s">
        <v>12</v>
      </c>
      <c r="N4" s="11" t="s">
        <v>148</v>
      </c>
      <c r="O4" s="14" t="s">
        <v>7</v>
      </c>
      <c r="P4" s="14" t="s">
        <v>8</v>
      </c>
      <c r="Q4" s="14" t="s">
        <v>11</v>
      </c>
      <c r="R4" s="11" t="s">
        <v>150</v>
      </c>
      <c r="S4" s="11" t="s">
        <v>149</v>
      </c>
      <c r="T4" s="14" t="s">
        <v>9</v>
      </c>
      <c r="U4" s="14" t="s">
        <v>5</v>
      </c>
      <c r="V4" s="14" t="s">
        <v>27</v>
      </c>
      <c r="W4" s="14" t="s">
        <v>22</v>
      </c>
    </row>
    <row r="5" spans="2:23" x14ac:dyDescent="0.3">
      <c r="B5" t="s">
        <v>259</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3">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3">
      <c r="C7" s="3"/>
      <c r="E7" s="3"/>
      <c r="F7" s="3"/>
      <c r="G7" s="3"/>
      <c r="H7" s="3"/>
      <c r="I7" s="3"/>
      <c r="J7" s="3"/>
      <c r="K7" s="3"/>
      <c r="L7" s="3"/>
      <c r="M7" s="3"/>
    </row>
    <row r="8" spans="2:23" x14ac:dyDescent="0.3">
      <c r="B8" s="2" t="s">
        <v>144</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3">
      <c r="B9" s="6" t="s">
        <v>146</v>
      </c>
      <c r="C9" s="3"/>
      <c r="D9" t="s">
        <v>46</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3">
      <c r="B10" s="6" t="s">
        <v>147</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3">
      <c r="B11" s="6" t="s">
        <v>154</v>
      </c>
      <c r="C11" s="3"/>
      <c r="E11" s="3"/>
      <c r="F11" s="3"/>
      <c r="G11" s="3"/>
      <c r="H11" s="3"/>
      <c r="I11" s="3"/>
      <c r="J11" s="3"/>
      <c r="K11" s="3"/>
      <c r="L11" s="3"/>
      <c r="M11" s="3"/>
    </row>
    <row r="12" spans="2:23" x14ac:dyDescent="0.3">
      <c r="B12" s="7" t="s">
        <v>151</v>
      </c>
      <c r="C12" s="3"/>
      <c r="D12" s="2" t="s">
        <v>160</v>
      </c>
      <c r="E12" s="3"/>
      <c r="F12" s="3"/>
      <c r="G12" s="3"/>
      <c r="H12" s="3"/>
      <c r="I12" s="3"/>
      <c r="J12" s="3"/>
      <c r="K12" s="3"/>
      <c r="L12" s="3"/>
      <c r="M12" s="3"/>
    </row>
    <row r="13" spans="2:23" x14ac:dyDescent="0.3">
      <c r="B13" s="7" t="s">
        <v>152</v>
      </c>
      <c r="C13" s="3"/>
      <c r="E13" s="3"/>
      <c r="F13" s="3"/>
      <c r="G13" s="3"/>
      <c r="H13" s="3"/>
      <c r="I13" s="3"/>
      <c r="J13" s="3"/>
      <c r="K13" s="3"/>
      <c r="L13" s="3"/>
      <c r="M13" s="3"/>
    </row>
    <row r="14" spans="2:23" x14ac:dyDescent="0.3">
      <c r="B14" s="7" t="s">
        <v>153</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3">
      <c r="B15" s="15" t="s">
        <v>145</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3">
      <c r="B16" s="15" t="s">
        <v>155</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3">
      <c r="B17" s="15" t="s">
        <v>156</v>
      </c>
      <c r="C17" s="3"/>
    </row>
    <row r="18" spans="2:23" x14ac:dyDescent="0.3">
      <c r="C18" s="3"/>
    </row>
    <row r="19" spans="2:23" x14ac:dyDescent="0.3">
      <c r="C19" s="3"/>
      <c r="D19" s="2" t="s">
        <v>159</v>
      </c>
    </row>
    <row r="20" spans="2:23" x14ac:dyDescent="0.3">
      <c r="C20" s="3"/>
    </row>
    <row r="21" spans="2:23" x14ac:dyDescent="0.3">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3">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3">
      <c r="C23" s="3"/>
    </row>
    <row r="24" spans="2:23" x14ac:dyDescent="0.3">
      <c r="C24" s="4" t="s">
        <v>39</v>
      </c>
      <c r="D24" s="2" t="s">
        <v>157</v>
      </c>
    </row>
    <row r="25" spans="2:23" x14ac:dyDescent="0.3">
      <c r="C25" s="3"/>
      <c r="D25" t="s">
        <v>203</v>
      </c>
    </row>
    <row r="26" spans="2:23" x14ac:dyDescent="0.3">
      <c r="C26" s="3"/>
    </row>
    <row r="27" spans="2:23" x14ac:dyDescent="0.3">
      <c r="C27" s="4" t="s">
        <v>40</v>
      </c>
      <c r="D27" t="s">
        <v>193</v>
      </c>
    </row>
    <row r="28" spans="2:23" x14ac:dyDescent="0.3">
      <c r="D28" t="s">
        <v>194</v>
      </c>
    </row>
    <row r="29" spans="2:23" x14ac:dyDescent="0.3">
      <c r="D29" t="s">
        <v>47</v>
      </c>
    </row>
    <row r="30" spans="2:23" x14ac:dyDescent="0.3">
      <c r="D30" t="s">
        <v>176</v>
      </c>
    </row>
    <row r="31" spans="2:23" x14ac:dyDescent="0.3">
      <c r="D31" t="s">
        <v>175</v>
      </c>
    </row>
    <row r="32" spans="2:23" x14ac:dyDescent="0.3">
      <c r="D32" t="s">
        <v>251</v>
      </c>
    </row>
    <row r="33" spans="4:4" x14ac:dyDescent="0.3">
      <c r="D33" t="s">
        <v>77</v>
      </c>
    </row>
    <row r="34" spans="4:4" x14ac:dyDescent="0.3">
      <c r="D34" t="s">
        <v>139</v>
      </c>
    </row>
    <row r="35" spans="4:4" x14ac:dyDescent="0.3">
      <c r="D35" t="s">
        <v>137</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枪械</vt:lpstr>
      <vt:lpstr>防具</vt:lpstr>
      <vt:lpstr>刀</vt:lpstr>
      <vt:lpstr>爆炸类</vt:lpstr>
      <vt:lpstr>装备价格</vt:lpstr>
      <vt:lpstr>合成表成本</vt:lpstr>
      <vt:lpstr>副本收益</vt:lpstr>
      <vt:lpstr>怪物大致面板</vt:lpstr>
      <vt:lpstr>药剂面板</vt:lpstr>
      <vt:lpstr>经验辅助计算</vt:lpstr>
      <vt:lpstr>技能格式</vt:lpstr>
      <vt:lpstr>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2026-01-18T14:06:56Z</dcterms:modified>
</cp:coreProperties>
</file>