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887ED831-0985-4E9B-B729-E2FC83B60053}" xr6:coauthVersionLast="47" xr6:coauthVersionMax="47" xr10:uidLastSave="{00000000-0000-0000-0000-000000000000}"/>
  <bookViews>
    <workbookView xWindow="-110" yWindow="-110" windowWidth="25820" windowHeight="13900" tabRatio="651" activeTab="8" xr2:uid="{00000000-000D-0000-FFFF-FFFF00000000}"/>
  </bookViews>
  <sheets>
    <sheet name="枪械" sheetId="12" r:id="rId1"/>
    <sheet name="防具" sheetId="10" r:id="rId2"/>
    <sheet name="刀" sheetId="2" r:id="rId3"/>
    <sheet name="爆炸类" sheetId="3" r:id="rId4"/>
    <sheet name="技能" sheetId="4" r:id="rId5"/>
    <sheet name="装备价格" sheetId="5" r:id="rId6"/>
    <sheet name="合成表成本" sheetId="11" r:id="rId7"/>
    <sheet name="副本收益" sheetId="13" r:id="rId8"/>
    <sheet name="怪物大致面板" sheetId="14" r:id="rId9"/>
    <sheet name="敌方或战宠经验" sheetId="6" r:id="rId10"/>
    <sheet name="根据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6" i="14" l="1"/>
  <c r="Q6" i="14" s="1"/>
  <c r="O6" i="14"/>
  <c r="P6" i="14"/>
  <c r="S3" i="14"/>
  <c r="T3" i="14"/>
  <c r="S4" i="14"/>
  <c r="T4" i="14"/>
  <c r="S5" i="14"/>
  <c r="T5" i="14"/>
  <c r="N3" i="14"/>
  <c r="O3" i="14"/>
  <c r="P3" i="14"/>
  <c r="Q3" i="14"/>
  <c r="R3" i="14"/>
  <c r="N4" i="14"/>
  <c r="P4" i="14" s="1"/>
  <c r="O4" i="14"/>
  <c r="Q4" i="14"/>
  <c r="N5" i="14"/>
  <c r="P5" i="14" s="1"/>
  <c r="O5" i="14"/>
  <c r="M6" i="13"/>
  <c r="M4" i="13"/>
  <c r="M5" i="13"/>
  <c r="M3" i="13"/>
  <c r="L14" i="13"/>
  <c r="L15" i="13"/>
  <c r="L22" i="13"/>
  <c r="L19" i="13"/>
  <c r="O32" i="13"/>
  <c r="M6" i="14"/>
  <c r="M5" i="14"/>
  <c r="M4" i="14"/>
  <c r="M3" i="14"/>
  <c r="K13" i="3"/>
  <c r="K12" i="3"/>
  <c r="O16" i="10"/>
  <c r="O15" i="10"/>
  <c r="O4" i="10"/>
  <c r="O5" i="10"/>
  <c r="O6" i="10"/>
  <c r="O7" i="10"/>
  <c r="O8" i="10"/>
  <c r="O9" i="10"/>
  <c r="O3" i="10"/>
  <c r="S13" i="10"/>
  <c r="T13" i="10"/>
  <c r="T6" i="14" l="1"/>
  <c r="S6" i="14"/>
  <c r="R6" i="14"/>
  <c r="R5" i="14"/>
  <c r="Q5" i="14"/>
  <c r="R4" i="14"/>
  <c r="P10" i="10"/>
  <c r="O30" i="13"/>
  <c r="O31" i="13"/>
  <c r="O27" i="13"/>
  <c r="O28" i="13"/>
  <c r="O29" i="13"/>
  <c r="O5" i="9"/>
  <c r="O6" i="9"/>
  <c r="O7" i="9"/>
  <c r="O8" i="9"/>
  <c r="O9" i="9"/>
  <c r="O10" i="9"/>
  <c r="O11" i="9"/>
  <c r="O12" i="9"/>
  <c r="O13" i="9"/>
  <c r="O14" i="9"/>
  <c r="O15" i="9"/>
  <c r="O16" i="9"/>
  <c r="O4" i="9"/>
  <c r="S5" i="9"/>
  <c r="S6" i="9"/>
  <c r="S7" i="9"/>
  <c r="S8" i="9"/>
  <c r="S9" i="9"/>
  <c r="S10" i="9"/>
  <c r="S11" i="9"/>
  <c r="S12" i="9"/>
  <c r="S13" i="9"/>
  <c r="S14" i="9"/>
  <c r="S15" i="9"/>
  <c r="S16" i="9"/>
  <c r="S4" i="9"/>
  <c r="R5" i="9"/>
  <c r="R6" i="9"/>
  <c r="R7" i="9"/>
  <c r="R8" i="9"/>
  <c r="R9" i="9"/>
  <c r="R10" i="9"/>
  <c r="R11" i="9"/>
  <c r="R12" i="9"/>
  <c r="R13" i="9"/>
  <c r="R14" i="9"/>
  <c r="R15" i="9"/>
  <c r="R16" i="9"/>
  <c r="R4" i="9"/>
  <c r="P5" i="9"/>
  <c r="P6" i="9"/>
  <c r="P7" i="9"/>
  <c r="P8" i="9"/>
  <c r="P9" i="9"/>
  <c r="P10" i="9"/>
  <c r="P11" i="9"/>
  <c r="P12" i="9"/>
  <c r="P13" i="9"/>
  <c r="P14" i="9"/>
  <c r="P15" i="9"/>
  <c r="P16" i="9"/>
  <c r="P4" i="9"/>
  <c r="L5" i="9"/>
  <c r="L6" i="9"/>
  <c r="L7" i="9"/>
  <c r="L8" i="9"/>
  <c r="L9" i="9"/>
  <c r="L10" i="9"/>
  <c r="L11" i="9"/>
  <c r="L12" i="9"/>
  <c r="L13" i="9"/>
  <c r="L14" i="9"/>
  <c r="L15" i="9"/>
  <c r="L4" i="9"/>
  <c r="N5" i="9" s="1"/>
  <c r="K5" i="9"/>
  <c r="K6" i="9"/>
  <c r="K7" i="9"/>
  <c r="K8" i="9"/>
  <c r="K9" i="9"/>
  <c r="K10" i="9"/>
  <c r="K11" i="9"/>
  <c r="K12" i="9"/>
  <c r="K13" i="9"/>
  <c r="K14" i="9"/>
  <c r="K15" i="9"/>
  <c r="K4" i="9"/>
  <c r="M5" i="9" s="1"/>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F17"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P27" i="13" l="1"/>
  <c r="T5" i="9"/>
  <c r="M16" i="9"/>
  <c r="Q16" i="9" s="1"/>
  <c r="M7" i="9"/>
  <c r="Q7" i="9" s="1"/>
  <c r="M6" i="9"/>
  <c r="Q6" i="9" s="1"/>
  <c r="V5" i="9"/>
  <c r="M14" i="9"/>
  <c r="U14" i="9" s="1"/>
  <c r="U5" i="9"/>
  <c r="T6" i="9"/>
  <c r="Q5" i="9"/>
  <c r="M9" i="9"/>
  <c r="Q9" i="9" s="1"/>
  <c r="N15" i="9"/>
  <c r="V15" i="9" s="1"/>
  <c r="M15" i="9"/>
  <c r="U15" i="9" s="1"/>
  <c r="M13" i="9"/>
  <c r="U13" i="9" s="1"/>
  <c r="N16" i="9"/>
  <c r="V16" i="9" s="1"/>
  <c r="N12" i="9"/>
  <c r="V12" i="9" s="1"/>
  <c r="N11" i="9"/>
  <c r="V11" i="9" s="1"/>
  <c r="N10" i="9"/>
  <c r="V10" i="9" s="1"/>
  <c r="N9" i="9"/>
  <c r="V9" i="9" s="1"/>
  <c r="M10" i="9"/>
  <c r="Q10" i="9" s="1"/>
  <c r="N7" i="9"/>
  <c r="V7" i="9" s="1"/>
  <c r="M12" i="9"/>
  <c r="Q12" i="9" s="1"/>
  <c r="N6" i="9"/>
  <c r="V6" i="9" s="1"/>
  <c r="M8" i="9"/>
  <c r="Q8" i="9" s="1"/>
  <c r="N14" i="9"/>
  <c r="V14" i="9" s="1"/>
  <c r="N13" i="9"/>
  <c r="V13" i="9" s="1"/>
  <c r="N8" i="9"/>
  <c r="V8" i="9" s="1"/>
  <c r="M11" i="9"/>
  <c r="U11" i="9" s="1"/>
  <c r="P24" i="11"/>
  <c r="P25" i="11"/>
  <c r="P26" i="11"/>
  <c r="P23" i="11"/>
  <c r="O4" i="13"/>
  <c r="O5" i="13"/>
  <c r="O6" i="13"/>
  <c r="O3" i="13"/>
  <c r="O26" i="13"/>
  <c r="P26" i="13" s="1"/>
  <c r="L16" i="13"/>
  <c r="L17" i="13"/>
  <c r="L18" i="13"/>
  <c r="L20" i="13"/>
  <c r="L21" i="13"/>
  <c r="L13" i="13"/>
  <c r="M13" i="13" s="1"/>
  <c r="Q25" i="11"/>
  <c r="Q26" i="11"/>
  <c r="Q24" i="11"/>
  <c r="Q23" i="11"/>
  <c r="M14" i="13" l="1"/>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P9" i="10"/>
  <c r="Q9" i="10" s="1"/>
  <c r="P4" i="10"/>
  <c r="Q4" i="10" s="1"/>
  <c r="P5" i="10"/>
  <c r="Q5" i="10" s="1"/>
  <c r="P6" i="10"/>
  <c r="Q6" i="10" s="1"/>
  <c r="P7" i="10"/>
  <c r="Q7" i="10" s="1"/>
  <c r="P8" i="10"/>
  <c r="Q8" i="10" s="1"/>
  <c r="N4" i="11"/>
  <c r="O4" i="11"/>
  <c r="P4" i="11" s="1"/>
  <c r="O3" i="11"/>
  <c r="J14" i="11"/>
  <c r="J15" i="11"/>
  <c r="J16" i="11"/>
  <c r="J17" i="11"/>
  <c r="J18" i="11"/>
  <c r="J13" i="11"/>
  <c r="N3" i="11"/>
  <c r="N9" i="11"/>
  <c r="N10" i="11"/>
  <c r="D18" i="8"/>
  <c r="D21" i="8"/>
  <c r="F21" i="8" s="1"/>
  <c r="G21" i="8" s="1"/>
  <c r="P16" i="10"/>
  <c r="Q16" i="10" s="1"/>
  <c r="P15" i="10"/>
  <c r="Q15"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O32" i="8" s="1"/>
  <c r="C31" i="8"/>
  <c r="O31" i="8"/>
  <c r="S30" i="8"/>
  <c r="S29" i="8"/>
  <c r="O8" i="8"/>
  <c r="O23" i="8"/>
  <c r="O25" i="8"/>
  <c r="O26" i="8"/>
  <c r="O27" i="8"/>
  <c r="O28" i="8"/>
  <c r="O29"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AM15" i="12" l="1"/>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<sst xmlns="http://schemas.openxmlformats.org/spreadsheetml/2006/main" count="712" uniqueCount="481">
  <si>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</si>
  <si>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</si>
  <si>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</si>
  <si>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</si>
  <si>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</si>
  <si>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</si>
  <si>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</si>
  <si>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</si>
  <si>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</si>
  <si>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</si>
  <si>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</si>
  <si>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</si>
  <si>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</si>
  <si>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</si>
  <si>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</si>
  <si>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</si>
  <si>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</si>
  <si>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</si>
  <si>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</si>
  <si>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</si>
  <si>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</si>
  <si>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</si>
  <si>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</si>
  <si>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</si>
  <si>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</si>
  <si>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</si>
  <si>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</si>
  <si>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</si>
  <si>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</si>
  <si>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</si>
  <si>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</si>
  <si>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</si>
  <si>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</si>
  <si>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</si>
  <si>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</si>
  <si>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</si>
  <si>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</si>
  <si>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</si>
  <si>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</si>
  <si>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</si>
  <si>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</si>
  <si>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</si>
  <si>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</si>
  <si>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</si>
  <si>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</si>
  <si>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</si>
  <si>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</si>
  <si>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</si>
  <si>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</si>
  <si>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</si>
  <si>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</si>
  <si>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</si>
  <si>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</si>
  <si>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</si>
  <si>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</si>
  <si>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</si>
  <si>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</si>
  <si>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</si>
  <si>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</si>
  <si>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</si>
  <si>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</si>
  <si>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</si>
  <si>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</si>
  <si>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</si>
  <si>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</si>
  <si>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</si>
  <si>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</si>
  <si>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</si>
  <si>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</si>
  <si>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</si>
  <si>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</si>
  <si>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</si>
  <si>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</si>
  <si>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</si>
  <si>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</si>
  <si>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</si>
  <si>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</si>
  <si>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</si>
  <si>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</si>
  <si>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</si>
  <si>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</si>
  <si>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</si>
  <si>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</si>
  <si>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</si>
  <si>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</si>
  <si>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</si>
  <si>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</si>
  <si>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</si>
  <si>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</si>
  <si>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</si>
  <si>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</si>
  <si>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</si>
  <si>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</si>
  <si>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</si>
  <si>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</si>
  <si>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</si>
  <si>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</si>
  <si>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</si>
  <si>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</si>
  <si>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</si>
  <si>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</si>
  <si>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</si>
  <si>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</si>
  <si>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</si>
  <si>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</si>
  <si>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</si>
  <si>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</si>
  <si>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</si>
  <si>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</si>
  <si>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</si>
  <si>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</si>
  <si>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</si>
  <si>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</si>
  <si>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</si>
  <si>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</si>
  <si>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</si>
  <si>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</si>
  <si>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</si>
  <si>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</si>
  <si>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</si>
  <si>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</si>
  <si>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</si>
  <si>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</si>
  <si>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</si>
  <si>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</si>
  <si>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</si>
  <si>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</si>
  <si>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</si>
  <si>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</si>
  <si>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</si>
  <si>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</si>
  <si>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</si>
  <si>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</si>
  <si>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</si>
  <si>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</si>
  <si>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</si>
  <si>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</si>
  <si>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</si>
  <si>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</si>
  <si>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</si>
  <si>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</si>
  <si>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</si>
  <si>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</si>
  <si>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</si>
  <si>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</si>
  <si>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</si>
  <si>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</si>
  <si>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</si>
  <si>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</si>
  <si>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</si>
  <si>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</si>
  <si>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</si>
  <si>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</si>
  <si>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</si>
  <si>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</si>
  <si>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</si>
  <si>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</si>
  <si>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</si>
  <si>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</si>
  <si>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</si>
  <si>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</si>
  <si>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</si>
  <si>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</si>
  <si>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</si>
  <si>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</si>
  <si>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</si>
  <si>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</si>
  <si>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</si>
  <si>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</si>
  <si>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</si>
  <si>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</si>
  <si>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</si>
  <si>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</si>
  <si>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</si>
  <si>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</si>
  <si>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</si>
  <si>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</si>
  <si>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</si>
  <si>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</si>
  <si>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</si>
  <si>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</si>
  <si>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</si>
  <si>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</si>
  <si>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</si>
  <si>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</si>
  <si>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</si>
  <si>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</si>
  <si>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</si>
  <si>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</si>
  <si>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</si>
  <si>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</si>
  <si>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</si>
  <si>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</si>
  <si>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</si>
  <si>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</si>
  <si>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</si>
  <si>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</si>
  <si>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</si>
  <si>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</si>
  <si>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</si>
  <si>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</si>
  <si>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</si>
  <si>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</si>
  <si>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</si>
  <si>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</si>
  <si>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</si>
  <si>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</si>
  <si>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</si>
  <si>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</si>
  <si>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</si>
  <si>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</si>
  <si>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</si>
  <si>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</si>
  <si>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</si>
  <si>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</si>
  <si>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</si>
  <si>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</si>
  <si>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</si>
  <si>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</si>
  <si>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</si>
  <si>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</si>
  <si>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</si>
  <si>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</si>
  <si>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</si>
  <si>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</si>
  <si>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</si>
  <si>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</si>
  <si>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</si>
  <si>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</si>
  <si>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</si>
  <si>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</si>
  <si>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</si>
  <si>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</si>
  <si>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</si>
  <si>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</si>
  <si>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</si>
  <si>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</si>
  <si>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</si>
  <si>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</si>
  <si>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</si>
  <si>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</si>
  <si>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</si>
  <si>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</si>
  <si>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</si>
  <si>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</si>
  <si>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</si>
  <si>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</si>
  <si>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</si>
  <si>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</si>
  <si>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</si>
  <si>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</si>
  <si>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</si>
  <si>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</si>
  <si>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</si>
  <si>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</si>
  <si>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</si>
  <si>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</si>
  <si>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</si>
  <si>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</si>
  <si>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</si>
  <si>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</si>
  <si>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</si>
  <si>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</si>
  <si>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</si>
  <si>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</si>
  <si>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</si>
  <si>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</si>
  <si>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</si>
  <si>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</si>
  <si>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</si>
  <si>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</si>
  <si>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</si>
  <si>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</si>
  <si>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</si>
  <si>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</si>
  <si>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</si>
  <si>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</si>
  <si>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</si>
  <si>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</si>
  <si>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</si>
  <si>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</si>
  <si>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</si>
  <si>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</si>
  <si>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</si>
  <si>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</si>
  <si>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</si>
  <si>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</si>
  <si>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</si>
  <si>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</si>
  <si>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</si>
  <si>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</si>
  <si>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</si>
  <si>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</si>
  <si>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</si>
  <si>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</si>
  <si>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</si>
  <si>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</si>
  <si>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</si>
  <si>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</si>
  <si>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</si>
  <si>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</si>
  <si>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</si>
  <si>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</si>
  <si>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</si>
  <si>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</si>
  <si>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</si>
  <si>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</si>
  <si>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</si>
  <si>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</si>
  <si>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</si>
  <si>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</si>
  <si>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</si>
  <si>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</si>
  <si>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</si>
  <si>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</si>
  <si>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</si>
  <si>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</si>
  <si>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</si>
  <si>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</si>
  <si>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</si>
  <si>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</si>
  <si>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</si>
  <si>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</si>
  <si>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</si>
  <si>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</si>
  <si>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</si>
  <si>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</si>
  <si>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</si>
  <si>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</si>
  <si>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</si>
  <si>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</si>
  <si>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</si>
  <si>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</si>
  <si>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</si>
  <si>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</si>
  <si>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</si>
  <si>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</si>
  <si>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</si>
  <si>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</si>
  <si>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</si>
  <si>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</si>
  <si>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</si>
  <si>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</si>
  <si>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</si>
  <si>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</si>
  <si>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</si>
  <si>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</si>
  <si>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</si>
  <si>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</si>
  <si>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</si>
  <si>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</si>
  <si>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</si>
  <si>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</si>
  <si>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</si>
  <si>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</si>
  <si>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</si>
  <si>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</si>
  <si>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</si>
  <si>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</si>
  <si>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</si>
  <si>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</si>
  <si>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</si>
  <si>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</si>
  <si>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</si>
  <si>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</si>
  <si>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</si>
  <si>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</si>
  <si>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</si>
  <si>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</si>
  <si>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</si>
  <si>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</si>
  <si>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</si>
  <si>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</si>
  <si>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</si>
  <si>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</si>
  <si>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</si>
  <si>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</si>
  <si>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</si>
  <si>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</si>
  <si>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</si>
  <si>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</si>
  <si>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</si>
  <si>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</si>
  <si>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</si>
  <si>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</si>
  <si>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</si>
  <si>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</si>
  <si>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机枪的弹容量种族优势可额外换1-2层级，对应种族价格系数，可叠加武器价格层级。穿刺枪的种族优势为群攻，散弹的种族优势为吃拐率，不反映在面板上，所以无额外加权层级。</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</si>
  <si>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</si>
  <si>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</si>
  <si>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</si>
  <si>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</si>
  <si>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</si>
  <si>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</si>
  <si>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</si>
  <si>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</si>
  <si>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</si>
  <si>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</si>
  <si>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</si>
  <si>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</si>
  <si>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</si>
  <si>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</si>
  <si>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</si>
  <si>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</si>
  <si>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</si>
  <si>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</si>
  <si>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套装特殊部件可根据特点或重量等适当浮动或者面板转移，但同一套装不同部件之间不要偏差过大，否则可能导致混装的强度较高。</t>
    <phoneticPr fontId="1" type="noConversion"/>
  </si>
  <si>
    <t>防御以外的单项属性占比过高时会占用更多数值模型，通常不要超过总分的一半。</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</si>
  <si>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</si>
  <si>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</si>
  <si>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</si>
  <si>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</si>
  <si>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</si>
  <si>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</si>
  <si>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</si>
  <si>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</si>
  <si>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</si>
  <si>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</si>
  <si>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</si>
  <si>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</si>
  <si>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</si>
  <si>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</si>
  <si>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</si>
  <si>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</si>
  <si>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</si>
  <si>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</si>
  <si>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</si>
  <si>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</si>
  <si>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</si>
  <si>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</si>
  <si>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</si>
  <si>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</si>
  <si>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</si>
  <si>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</si>
  <si>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</si>
  <si>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</si>
  <si>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</si>
  <si>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</si>
  <si>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</si>
  <si>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</si>
  <si>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</si>
  <si>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</si>
  <si>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</si>
  <si>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</si>
  <si>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</si>
  <si>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</si>
  <si>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</si>
  <si>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</si>
  <si>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</si>
  <si>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</si>
  <si>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例子：胖僵尸（废城）左轮（盗贼）。注释：常规/偏科较强其他较弱的小怪，大量出现</t>
    <phoneticPr fontId="1" type="noConversion"/>
  </si>
  <si>
    <t>例子：普通重装兵（军阀）重装改造僵尸（诺亚前期）。注释：整体较强/偏科强其他中等的小怪，大量出现</t>
    <phoneticPr fontId="1" type="noConversion"/>
  </si>
  <si>
    <t>例子：精英战术少女（盗贼）黑铁游侠（总堂前期）。可经常复数出现的低级精英</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</si>
  <si>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</si>
  <si>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</si>
  <si>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</si>
  <si>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</si>
  <si>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</si>
  <si>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</si>
  <si>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对应阶段和档次系数参考下方表格</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</si>
  <si>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</si>
  <si>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</si>
  <si>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</si>
  <si>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</si>
  <si>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</si>
  <si>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</si>
  <si>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攻速系数只看整体攻击动作的总时长和前后摇的长度，范围为1~5，代表极慢、慢、中等、快、极快</t>
    <phoneticPr fontId="1" type="noConversion"/>
  </si>
  <si>
    <t>攻击倍率、段数系数均为大致平均值即可，攻击倍率默认为1，通常为1~3。段数系数默认为3，大致区间为1~10。攻击倍率为平均每次攻击的平均倍率，段数系数为平均每次攻击的平均段数。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</si>
  <si>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</si>
  <si>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高防低血系数代表这个单位是否有防御和血量的比例倾向，默认为1，范围为0.2~5。数值越高代表防御越高，血量越低，但等效血防差别不大。视觉和设定上更硬的单位应该给更高的高防低血系数。</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</si>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</sst>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47">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19"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zoomScaleNormal="100" workbookViewId="0">
      <selection activeCell="AA3" sqref="AA3"/>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299</v>
      </c>
      <c r="L1" t="s">
        <v>273</v>
      </c>
      <c r="M1" t="s">
        <v>42</v>
      </c>
      <c r="N1" t="s">
        <v>297</v>
      </c>
      <c r="O1" t="s">
        <v>165</v>
      </c>
      <c r="Q1" s="1" t="s">
        <v>376</v>
      </c>
      <c r="V1" t="s">
        <v>310</v>
      </c>
    </row>
    <row r="2" spans="1:41" x14ac:dyDescent="0.3">
      <c r="A2" t="s">
        <v>311</v>
      </c>
      <c r="B2" s="10" t="s">
        <v>282</v>
      </c>
      <c r="C2" s="10" t="s">
        <v>50</v>
      </c>
      <c r="D2" s="8" t="s">
        <v>14</v>
      </c>
      <c r="E2" s="8" t="s">
        <v>1</v>
      </c>
      <c r="F2" s="8" t="s">
        <v>2</v>
      </c>
      <c r="G2" s="8" t="s">
        <v>3</v>
      </c>
      <c r="H2" s="8" t="s">
        <v>10</v>
      </c>
      <c r="I2" s="8" t="s">
        <v>170</v>
      </c>
      <c r="J2" s="9" t="s">
        <v>6</v>
      </c>
      <c r="K2" s="9" t="s">
        <v>4</v>
      </c>
      <c r="L2" s="9" t="s">
        <v>272</v>
      </c>
      <c r="M2" s="8" t="s">
        <v>162</v>
      </c>
      <c r="N2" s="8" t="s">
        <v>296</v>
      </c>
      <c r="O2" s="8" t="s">
        <v>12</v>
      </c>
      <c r="P2" s="11" t="s">
        <v>221</v>
      </c>
      <c r="Q2" s="14" t="s">
        <v>291</v>
      </c>
      <c r="R2" s="11" t="s">
        <v>222</v>
      </c>
      <c r="S2" s="14" t="s">
        <v>295</v>
      </c>
      <c r="T2" s="11" t="s">
        <v>307</v>
      </c>
      <c r="U2" s="11" t="s">
        <v>220</v>
      </c>
      <c r="V2" s="14" t="s">
        <v>294</v>
      </c>
      <c r="W2" s="14" t="s">
        <v>292</v>
      </c>
      <c r="X2" s="14" t="s">
        <v>300</v>
      </c>
      <c r="Y2" s="14" t="s">
        <v>308</v>
      </c>
      <c r="Z2" s="14" t="s">
        <v>377</v>
      </c>
      <c r="AA2" s="14" t="s">
        <v>378</v>
      </c>
      <c r="AB2" s="14" t="s">
        <v>379</v>
      </c>
      <c r="AC2" s="14" t="s">
        <v>380</v>
      </c>
      <c r="AD2" s="14" t="s">
        <v>385</v>
      </c>
      <c r="AE2" s="14" t="s">
        <v>384</v>
      </c>
      <c r="AF2" s="14" t="s">
        <v>386</v>
      </c>
      <c r="AG2" s="14" t="s">
        <v>381</v>
      </c>
      <c r="AH2" s="14" t="s">
        <v>290</v>
      </c>
      <c r="AI2" s="14" t="s">
        <v>169</v>
      </c>
      <c r="AJ2" s="14" t="s">
        <v>271</v>
      </c>
      <c r="AK2" s="14" t="s">
        <v>298</v>
      </c>
      <c r="AL2" s="14" t="s">
        <v>309</v>
      </c>
      <c r="AM2" s="14" t="s">
        <v>293</v>
      </c>
      <c r="AN2" s="14" t="s">
        <v>289</v>
      </c>
      <c r="AO2" s="14" t="s">
        <v>333</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283</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285</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287</v>
      </c>
      <c r="D8" s="12">
        <v>35</v>
      </c>
      <c r="E8" s="12">
        <v>900</v>
      </c>
      <c r="F8" s="12">
        <v>130</v>
      </c>
      <c r="G8" s="12">
        <v>10</v>
      </c>
      <c r="H8" s="12">
        <v>500</v>
      </c>
      <c r="I8" s="12">
        <v>3</v>
      </c>
      <c r="J8" s="13">
        <v>1</v>
      </c>
      <c r="K8" s="12">
        <v>1</v>
      </c>
      <c r="L8" s="12">
        <v>1</v>
      </c>
      <c r="M8" s="12">
        <v>1</v>
      </c>
      <c r="N8" s="12">
        <v>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10402.50499808108</v>
      </c>
      <c r="V8">
        <f>表2_5[[#This Row],[平衡裸伤dps]]+表2_5[[#This Row],[平衡增益dps]]</f>
        <v>10661.050257518782</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41450.400000000001</v>
      </c>
      <c r="Y8">
        <f>表2_5[[#This Row],[平衡周期伤害]]*1.25^表2_5[[#This Row],[额外加权层数]]</f>
        <v>41450.400000000001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4993.5212356865841</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5667.529021832197</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9349.3300693153997</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1.07248463532297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0.97574861264204615</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281</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284</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286</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306</v>
      </c>
      <c r="B15" s="3"/>
      <c r="C15" t="s">
        <v>287</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280</v>
      </c>
    </row>
    <row r="20" spans="2:41" x14ac:dyDescent="0.3">
      <c r="B20" s="3"/>
      <c r="C20" s="2" t="s">
        <v>277</v>
      </c>
      <c r="D20" s="2" t="s">
        <v>301</v>
      </c>
      <c r="O20" s="29" t="s">
        <v>288</v>
      </c>
    </row>
    <row r="21" spans="2:41" x14ac:dyDescent="0.3">
      <c r="B21" s="3"/>
      <c r="C21" s="2" t="s">
        <v>278</v>
      </c>
      <c r="D21" s="2" t="s">
        <v>375</v>
      </c>
    </row>
    <row r="22" spans="2:41" x14ac:dyDescent="0.3">
      <c r="B22" s="3"/>
    </row>
    <row r="23" spans="2:41" x14ac:dyDescent="0.3">
      <c r="B23" s="4" t="s">
        <v>40</v>
      </c>
      <c r="C23" s="2" t="s">
        <v>305</v>
      </c>
    </row>
    <row r="24" spans="2:41" x14ac:dyDescent="0.3">
      <c r="B24" s="3"/>
      <c r="C24" t="s">
        <v>312</v>
      </c>
      <c r="AL24" s="2" t="s">
        <v>268</v>
      </c>
    </row>
    <row r="25" spans="2:41" x14ac:dyDescent="0.3">
      <c r="B25" s="3"/>
      <c r="AL25" t="s">
        <v>90</v>
      </c>
      <c r="AM25" t="s">
        <v>169</v>
      </c>
      <c r="AN25" t="s">
        <v>382</v>
      </c>
      <c r="AO25" t="s">
        <v>271</v>
      </c>
    </row>
    <row r="26" spans="2:41" x14ac:dyDescent="0.3">
      <c r="B26" s="4" t="s">
        <v>41</v>
      </c>
      <c r="C26" t="s">
        <v>302</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303</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304</v>
      </c>
      <c r="AL30" s="28">
        <v>50</v>
      </c>
      <c r="AM30" s="28">
        <v>530</v>
      </c>
      <c r="AN30" s="28">
        <f>表5[[#This Row],[伤害加成]]*IF(AL30&gt;=25, 1 + (MIN(13,(AL30-18)/3.5) - 1) * (MIN(13,(AL30-18)/3.5)  - 1) / 100 + 0.05 * (MIN(13,(AL30-18)/3.5)  - 1),1)-表5[[#This Row],[伤害加成]]</f>
        <v>567.20816326530621</v>
      </c>
      <c r="AO30" s="28">
        <v>120</v>
      </c>
    </row>
    <row r="31" spans="2:41" x14ac:dyDescent="0.3">
      <c r="C31" t="s">
        <v>387</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331</v>
      </c>
      <c r="AL32" s="2" t="s">
        <v>383</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0"/>
  <sheetViews>
    <sheetView zoomScaleNormal="100" workbookViewId="0">
      <selection activeCell="I11" sqref="I11"/>
    </sheetView>
  </sheetViews>
  <sheetFormatPr defaultRowHeight="14" x14ac:dyDescent="0.3"/>
  <cols>
    <col min="1" max="1" width="17.5" customWidth="1"/>
    <col min="2" max="2" width="9.16406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402</v>
      </c>
      <c r="J2" s="8" t="s">
        <v>170</v>
      </c>
      <c r="K2" s="8" t="s">
        <v>171</v>
      </c>
      <c r="L2" s="8" t="s">
        <v>172</v>
      </c>
      <c r="M2" s="8" t="s">
        <v>12</v>
      </c>
      <c r="N2" s="11" t="s">
        <v>152</v>
      </c>
      <c r="O2" s="14" t="s">
        <v>173</v>
      </c>
      <c r="P2" s="14" t="s">
        <v>174</v>
      </c>
      <c r="Q2" s="14" t="s">
        <v>175</v>
      </c>
      <c r="R2" s="11" t="s">
        <v>154</v>
      </c>
      <c r="S2" s="14" t="s">
        <v>403</v>
      </c>
      <c r="T2" s="14" t="s">
        <v>404</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409</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407</v>
      </c>
      <c r="E12" s="3"/>
      <c r="F12" s="3"/>
      <c r="G12" s="3"/>
      <c r="H12" s="3"/>
      <c r="I12" s="3"/>
      <c r="J12" s="3"/>
      <c r="K12" s="3"/>
      <c r="L12" s="3"/>
      <c r="M12" s="3"/>
    </row>
    <row r="13" spans="1:20" x14ac:dyDescent="0.3">
      <c r="A13" s="15"/>
      <c r="B13" s="3"/>
      <c r="C13" s="2"/>
      <c r="D13" s="2" t="s">
        <v>406</v>
      </c>
      <c r="E13" s="3"/>
      <c r="F13" s="3"/>
      <c r="G13" s="3"/>
      <c r="H13" s="3"/>
      <c r="I13" s="3"/>
      <c r="J13" s="3"/>
      <c r="K13" s="3"/>
      <c r="L13" s="3"/>
      <c r="M13" s="3"/>
      <c r="S13" t="e">
        <f>10+表2_2[[#This Row],[限制等级]]*0.2</f>
        <v>#VALUE!</v>
      </c>
      <c r="T13" t="e">
        <f>25+表2_2[[#This Row],[限制等级]]*0.2</f>
        <v>#VALUE!</v>
      </c>
    </row>
    <row r="14" spans="1:20" x14ac:dyDescent="0.3">
      <c r="B14" s="2"/>
      <c r="D14" s="3"/>
      <c r="E14" s="3"/>
      <c r="F14" s="3"/>
      <c r="G14" s="3"/>
      <c r="H14" s="3"/>
      <c r="I14" s="3"/>
      <c r="J14" s="3"/>
      <c r="K14" s="3"/>
      <c r="L14" s="3"/>
      <c r="M14" s="3"/>
    </row>
    <row r="15" spans="1:20" x14ac:dyDescent="0.3">
      <c r="B15" s="2" t="s">
        <v>194</v>
      </c>
      <c r="C15" t="s">
        <v>195</v>
      </c>
      <c r="D15">
        <v>20</v>
      </c>
      <c r="E15">
        <v>90</v>
      </c>
      <c r="F15">
        <v>120</v>
      </c>
      <c r="G15">
        <v>80</v>
      </c>
      <c r="H15">
        <v>35</v>
      </c>
      <c r="I15">
        <v>0</v>
      </c>
      <c r="J15">
        <v>0</v>
      </c>
      <c r="K15">
        <v>0</v>
      </c>
      <c r="L15">
        <v>0</v>
      </c>
      <c r="M15">
        <v>1</v>
      </c>
      <c r="O1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5">
        <f>表2_2[[#This Row],[限制等级]]*20</f>
        <v>400</v>
      </c>
      <c r="Q15">
        <f t="shared" ref="Q15:Q16" si="1">P15*1.25^M15</f>
        <v>500</v>
      </c>
      <c r="S15">
        <v>0</v>
      </c>
      <c r="T15">
        <v>0</v>
      </c>
    </row>
    <row r="16" spans="1:20" x14ac:dyDescent="0.3">
      <c r="B16" s="3"/>
      <c r="C16" s="1" t="s">
        <v>260</v>
      </c>
      <c r="D16" s="12">
        <v>35</v>
      </c>
      <c r="E16" s="12">
        <v>100</v>
      </c>
      <c r="F16" s="12">
        <v>250</v>
      </c>
      <c r="G16" s="12">
        <v>250</v>
      </c>
      <c r="H16" s="12">
        <v>0</v>
      </c>
      <c r="I16" s="12">
        <v>0</v>
      </c>
      <c r="J16" s="12">
        <v>0</v>
      </c>
      <c r="K16" s="12">
        <v>0</v>
      </c>
      <c r="L16" s="12">
        <v>0</v>
      </c>
      <c r="M16" s="12">
        <v>0</v>
      </c>
      <c r="O16"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6">
        <f>表2_2[[#This Row],[限制等级]]*20</f>
        <v>700</v>
      </c>
      <c r="Q16" s="16">
        <f t="shared" si="1"/>
        <v>700</v>
      </c>
      <c r="S16">
        <v>0</v>
      </c>
      <c r="T16">
        <v>0</v>
      </c>
    </row>
    <row r="17" spans="2:20" x14ac:dyDescent="0.3">
      <c r="B17" s="3"/>
      <c r="C17" s="1"/>
      <c r="D17" s="1"/>
      <c r="E17" s="1"/>
      <c r="F17" s="1"/>
      <c r="G17" s="1"/>
      <c r="H17" s="1"/>
      <c r="I17" s="1"/>
      <c r="J17" s="1"/>
      <c r="K17" s="1"/>
      <c r="L17" s="1"/>
      <c r="M17" s="1"/>
      <c r="N17" s="1"/>
      <c r="O17" s="1"/>
      <c r="P17" s="1"/>
      <c r="Q17" s="1"/>
      <c r="R17" s="1"/>
      <c r="S17" s="1"/>
      <c r="T17" s="1"/>
    </row>
    <row r="18" spans="2:20" x14ac:dyDescent="0.3">
      <c r="B18" s="3"/>
      <c r="C18" s="24" t="s">
        <v>236</v>
      </c>
      <c r="D18" s="2" t="s">
        <v>408</v>
      </c>
      <c r="E18" s="1"/>
      <c r="F18" s="1"/>
      <c r="G18" s="1"/>
      <c r="H18" s="1"/>
      <c r="I18" s="1"/>
      <c r="J18" s="1"/>
      <c r="K18" s="1"/>
      <c r="L18" s="1"/>
      <c r="M18" s="1"/>
      <c r="N18" s="1"/>
      <c r="O18" s="1"/>
      <c r="P18" s="1"/>
      <c r="Q18" s="1"/>
      <c r="R18" s="1"/>
      <c r="S18" s="1"/>
      <c r="T18" s="1"/>
    </row>
    <row r="19" spans="2:20" x14ac:dyDescent="0.3">
      <c r="B19" s="3"/>
    </row>
    <row r="20" spans="2:20" x14ac:dyDescent="0.3">
      <c r="B20" s="4" t="s">
        <v>40</v>
      </c>
      <c r="C20" s="2" t="s">
        <v>192</v>
      </c>
    </row>
    <row r="21" spans="2:20" x14ac:dyDescent="0.3">
      <c r="B21" s="3"/>
      <c r="C21" t="s">
        <v>207</v>
      </c>
    </row>
    <row r="22" spans="2:20" x14ac:dyDescent="0.3">
      <c r="B22" s="3"/>
    </row>
    <row r="23" spans="2:20" x14ac:dyDescent="0.3">
      <c r="B23" s="4" t="s">
        <v>41</v>
      </c>
      <c r="C23" t="s">
        <v>324</v>
      </c>
    </row>
    <row r="24" spans="2:20" x14ac:dyDescent="0.3">
      <c r="C24" t="s">
        <v>199</v>
      </c>
    </row>
    <row r="25" spans="2:20" x14ac:dyDescent="0.3">
      <c r="C25" t="s">
        <v>48</v>
      </c>
    </row>
    <row r="26" spans="2:20" x14ac:dyDescent="0.3">
      <c r="C26" t="s">
        <v>182</v>
      </c>
    </row>
    <row r="27" spans="2:20" x14ac:dyDescent="0.3">
      <c r="C27" t="s">
        <v>323</v>
      </c>
    </row>
    <row r="28" spans="2:20" x14ac:dyDescent="0.3">
      <c r="C28" t="s">
        <v>193</v>
      </c>
    </row>
    <row r="29" spans="2:20" x14ac:dyDescent="0.3">
      <c r="C29" t="s">
        <v>405</v>
      </c>
    </row>
    <row r="30" spans="2:20" x14ac:dyDescent="0.3">
      <c r="C30" t="s">
        <v>325</v>
      </c>
    </row>
  </sheetData>
  <phoneticPr fontId="1" type="noConversion"/>
  <pageMargins left="0.7" right="0.7" top="0.75" bottom="0.75" header="0.3" footer="0.3"/>
  <pageSetup paperSize="9" orientation="portrait" r:id="rId1"/>
  <ignoredErrors>
    <ignoredError sqref="S15:T15 S16:T16"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330</v>
      </c>
    </row>
    <row r="11" spans="1:10" x14ac:dyDescent="0.3">
      <c r="C11" s="2" t="s">
        <v>319</v>
      </c>
    </row>
    <row r="12" spans="1:10" x14ac:dyDescent="0.3">
      <c r="C12" t="s">
        <v>332</v>
      </c>
    </row>
    <row r="13" spans="1:10" x14ac:dyDescent="0.3">
      <c r="C13" s="1" t="s">
        <v>322</v>
      </c>
    </row>
    <row r="15" spans="1:10" x14ac:dyDescent="0.3">
      <c r="C15" t="s">
        <v>326</v>
      </c>
      <c r="F15" t="s">
        <v>14</v>
      </c>
      <c r="G15" t="s">
        <v>328</v>
      </c>
      <c r="J15" t="s">
        <v>327</v>
      </c>
    </row>
    <row r="16" spans="1:10" x14ac:dyDescent="0.3">
      <c r="C16" t="s">
        <v>329</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F21" sqref="F21"/>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321</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f>1.5*E3*1.25^H3*SQRT(G3/30)/(F3+0.5)</f>
        <v>3181.9805153394641</v>
      </c>
    </row>
    <row r="4" spans="1:11" x14ac:dyDescent="0.3">
      <c r="D4">
        <v>1800</v>
      </c>
      <c r="E4">
        <v>7500</v>
      </c>
      <c r="F4">
        <v>6</v>
      </c>
      <c r="G4">
        <v>33</v>
      </c>
      <c r="H4">
        <v>0</v>
      </c>
      <c r="K4">
        <f>1.5*E4*1.25^H4*SQRT(G4/30)/(F4+0.5)</f>
        <v>1815.2460833714163</v>
      </c>
    </row>
    <row r="5" spans="1:11" x14ac:dyDescent="0.3">
      <c r="C5" s="1" t="s">
        <v>53</v>
      </c>
      <c r="D5">
        <v>3000</v>
      </c>
      <c r="E5">
        <v>7500</v>
      </c>
      <c r="F5">
        <v>5</v>
      </c>
      <c r="G5">
        <v>50</v>
      </c>
      <c r="H5">
        <v>0</v>
      </c>
      <c r="K5" s="40">
        <f>1.5*E5*1.25^H5*SQRT(G5/30)/(F5+0.5)</f>
        <v>2640.6704633232384</v>
      </c>
    </row>
    <row r="8" spans="1:11" x14ac:dyDescent="0.3">
      <c r="C8" t="s">
        <v>140</v>
      </c>
    </row>
    <row r="11" spans="1:11" x14ac:dyDescent="0.3">
      <c r="B11" t="s">
        <v>32</v>
      </c>
      <c r="D11" s="2" t="s">
        <v>30</v>
      </c>
      <c r="E11" s="2" t="s">
        <v>33</v>
      </c>
      <c r="F11" s="2" t="s">
        <v>14</v>
      </c>
      <c r="G11" s="2" t="s">
        <v>410</v>
      </c>
      <c r="K11" s="2" t="s">
        <v>31</v>
      </c>
    </row>
    <row r="12" spans="1:11" x14ac:dyDescent="0.3">
      <c r="D12">
        <v>1000</v>
      </c>
      <c r="E12">
        <v>1000</v>
      </c>
      <c r="F12">
        <v>1</v>
      </c>
      <c r="G12">
        <v>1</v>
      </c>
      <c r="K12">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0">
        <f>IF(E13 &gt; 800 +F13 * 200 + IF(F13 &gt;=30,1200 * (F13 - 29) * (F13 - 29),0), 800 +F13 * 200+ IF(F13 &gt;=30,1200  * (F13 - 29) * (F13 - 29),0) + (E13 - 800 -F13 * 200-IF(F13 &gt;=30,1200 * (F13 - 29) * (F13 - 29),0))/10,E13 )/G13</f>
        <v>8000</v>
      </c>
    </row>
    <row r="17" spans="3:4" x14ac:dyDescent="0.3">
      <c r="C17" s="42" t="s">
        <v>277</v>
      </c>
      <c r="D17" t="s">
        <v>411</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B33" sqref="B33"/>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G10" sqref="G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317</v>
      </c>
    </row>
    <row r="12" spans="1:14" x14ac:dyDescent="0.3">
      <c r="C12" t="s">
        <v>315</v>
      </c>
      <c r="D12" t="s">
        <v>316</v>
      </c>
    </row>
    <row r="13" spans="1:14" x14ac:dyDescent="0.3">
      <c r="D13" t="s">
        <v>320</v>
      </c>
    </row>
    <row r="14" spans="1:14" x14ac:dyDescent="0.3">
      <c r="C14" t="s">
        <v>318</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313</v>
      </c>
    </row>
    <row r="30" spans="3:14" x14ac:dyDescent="0.3">
      <c r="D30" t="s">
        <v>314</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374</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373</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371</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H25" sqref="H25"/>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433</v>
      </c>
      <c r="E2" s="33" t="s">
        <v>239</v>
      </c>
      <c r="F2" s="33" t="s">
        <v>240</v>
      </c>
      <c r="G2" s="33" t="s">
        <v>338</v>
      </c>
      <c r="H2" s="33" t="s">
        <v>356</v>
      </c>
      <c r="I2" s="33" t="s">
        <v>94</v>
      </c>
      <c r="J2" s="33" t="s">
        <v>357</v>
      </c>
      <c r="K2" s="33" t="s">
        <v>339</v>
      </c>
      <c r="M2" s="35" t="s">
        <v>337</v>
      </c>
      <c r="O2" s="35" t="s">
        <v>336</v>
      </c>
    </row>
    <row r="3" spans="3:15" x14ac:dyDescent="0.3">
      <c r="C3" t="s">
        <v>335</v>
      </c>
      <c r="D3" s="34">
        <v>1.5</v>
      </c>
      <c r="E3" s="27">
        <v>1.5</v>
      </c>
      <c r="F3" s="27">
        <v>1.5</v>
      </c>
      <c r="G3" s="45">
        <v>20000</v>
      </c>
      <c r="H3" s="27">
        <v>22000</v>
      </c>
      <c r="I3" s="27">
        <v>20000</v>
      </c>
      <c r="J3" s="45">
        <v>0</v>
      </c>
      <c r="K3" s="27">
        <v>0</v>
      </c>
      <c r="M3" s="45">
        <f>G3+H3*0.5+I3/D3+IF(D3&gt;4,K3*300/(D3-2.5),K3*300)+J3*0.5</f>
        <v>44333.333333333336</v>
      </c>
      <c r="O3" s="45">
        <f>(D3*13000*E3*F3)</f>
        <v>43875</v>
      </c>
    </row>
    <row r="4" spans="3:15" x14ac:dyDescent="0.3">
      <c r="C4" t="s">
        <v>355</v>
      </c>
      <c r="D4" s="34">
        <v>4</v>
      </c>
      <c r="E4" s="27">
        <v>2</v>
      </c>
      <c r="F4" s="27">
        <v>1.5</v>
      </c>
      <c r="G4" s="45">
        <v>50000</v>
      </c>
      <c r="H4" s="27">
        <v>10000</v>
      </c>
      <c r="I4" s="27">
        <v>60000</v>
      </c>
      <c r="J4" s="45">
        <v>0</v>
      </c>
      <c r="K4" s="27">
        <v>300</v>
      </c>
      <c r="M4" s="45">
        <f t="shared" ref="M4:M6" si="0">G4+H4*0.5+I4/D4+IF(D4&gt;4,K4*300/(D4-2.5),K4*300)+J4*0.5</f>
        <v>160000</v>
      </c>
      <c r="O4" s="45">
        <f t="shared" ref="O4:O6" si="1">(D4*13000*E4*F4)</f>
        <v>156000</v>
      </c>
    </row>
    <row r="5" spans="3:15" x14ac:dyDescent="0.3">
      <c r="C5" t="s">
        <v>359</v>
      </c>
      <c r="D5" s="34">
        <v>4</v>
      </c>
      <c r="E5" s="27">
        <v>2</v>
      </c>
      <c r="F5" s="27">
        <v>2</v>
      </c>
      <c r="G5" s="45">
        <v>50000</v>
      </c>
      <c r="H5" s="27">
        <v>4000</v>
      </c>
      <c r="I5" s="27">
        <v>50000</v>
      </c>
      <c r="J5" s="45">
        <v>260000</v>
      </c>
      <c r="K5" s="27">
        <v>0</v>
      </c>
      <c r="M5" s="45">
        <f t="shared" si="0"/>
        <v>194500</v>
      </c>
      <c r="O5" s="45">
        <f t="shared" si="1"/>
        <v>208000</v>
      </c>
    </row>
    <row r="6" spans="3:15" x14ac:dyDescent="0.3">
      <c r="C6" s="1" t="s">
        <v>334</v>
      </c>
      <c r="D6" s="36">
        <v>1</v>
      </c>
      <c r="E6" s="37">
        <v>1</v>
      </c>
      <c r="F6" s="37">
        <v>1</v>
      </c>
      <c r="G6" s="37">
        <v>0</v>
      </c>
      <c r="H6" s="37">
        <v>0</v>
      </c>
      <c r="I6" s="37">
        <v>0</v>
      </c>
      <c r="J6" s="37">
        <v>0</v>
      </c>
      <c r="K6" s="37">
        <v>0</v>
      </c>
      <c r="M6" s="40">
        <f t="shared" si="0"/>
        <v>0</v>
      </c>
      <c r="O6" s="40">
        <f t="shared" si="1"/>
        <v>13000</v>
      </c>
    </row>
    <row r="8" spans="3:15" x14ac:dyDescent="0.3">
      <c r="C8" s="24" t="s">
        <v>236</v>
      </c>
      <c r="D8" s="2" t="s">
        <v>434</v>
      </c>
    </row>
    <row r="9" spans="3:15" x14ac:dyDescent="0.3">
      <c r="D9" s="2" t="s">
        <v>372</v>
      </c>
    </row>
    <row r="10" spans="3:15" x14ac:dyDescent="0.3">
      <c r="D10" s="2" t="s">
        <v>358</v>
      </c>
    </row>
    <row r="11" spans="3:15" x14ac:dyDescent="0.3">
      <c r="I11" s="2" t="s">
        <v>360</v>
      </c>
    </row>
    <row r="12" spans="3:15" x14ac:dyDescent="0.3">
      <c r="I12" s="33" t="s">
        <v>340</v>
      </c>
      <c r="J12" s="33" t="s">
        <v>224</v>
      </c>
      <c r="K12" s="33" t="s">
        <v>353</v>
      </c>
      <c r="L12" s="33" t="s">
        <v>354</v>
      </c>
      <c r="M12" s="35" t="s">
        <v>342</v>
      </c>
    </row>
    <row r="13" spans="3:15" x14ac:dyDescent="0.3">
      <c r="D13" s="2" t="s">
        <v>432</v>
      </c>
      <c r="H13" t="s">
        <v>87</v>
      </c>
      <c r="I13" s="46" t="s">
        <v>343</v>
      </c>
      <c r="J13" s="45">
        <v>20</v>
      </c>
      <c r="K13" s="45">
        <v>500</v>
      </c>
      <c r="L13" s="45">
        <f>J13*K13</f>
        <v>10000</v>
      </c>
      <c r="M13">
        <f>SUM(L13:L13)</f>
        <v>10000</v>
      </c>
    </row>
    <row r="14" spans="3:15" x14ac:dyDescent="0.3">
      <c r="D14" s="33" t="s">
        <v>413</v>
      </c>
      <c r="E14" s="35" t="s">
        <v>414</v>
      </c>
      <c r="F14" s="33" t="s">
        <v>417</v>
      </c>
      <c r="H14" s="1" t="s">
        <v>363</v>
      </c>
      <c r="I14" s="46" t="s">
        <v>344</v>
      </c>
      <c r="J14" s="45">
        <v>0</v>
      </c>
      <c r="K14" s="45">
        <v>0</v>
      </c>
      <c r="L14" s="45">
        <f>J14*K14</f>
        <v>0</v>
      </c>
      <c r="M14" s="40">
        <f>SUM(L14:L22)</f>
        <v>0</v>
      </c>
    </row>
    <row r="15" spans="3:15" x14ac:dyDescent="0.3">
      <c r="D15" t="s">
        <v>412</v>
      </c>
      <c r="E15" s="40">
        <v>1</v>
      </c>
      <c r="I15" s="46" t="s">
        <v>345</v>
      </c>
      <c r="J15" s="45">
        <v>0</v>
      </c>
      <c r="K15" s="45">
        <v>0</v>
      </c>
      <c r="L15" s="45">
        <f>J15*K15</f>
        <v>0</v>
      </c>
    </row>
    <row r="16" spans="3:15" x14ac:dyDescent="0.3">
      <c r="D16" t="s">
        <v>415</v>
      </c>
      <c r="E16" s="40">
        <v>2</v>
      </c>
      <c r="I16" s="46" t="s">
        <v>346</v>
      </c>
      <c r="J16" s="45">
        <v>0</v>
      </c>
      <c r="K16" s="45">
        <v>0</v>
      </c>
      <c r="L16" s="45">
        <f>J16*K16</f>
        <v>0</v>
      </c>
    </row>
    <row r="17" spans="4:16" x14ac:dyDescent="0.3">
      <c r="D17" t="s">
        <v>416</v>
      </c>
      <c r="E17" s="40">
        <v>3</v>
      </c>
      <c r="I17" s="46" t="s">
        <v>347</v>
      </c>
      <c r="J17" s="45">
        <v>0</v>
      </c>
      <c r="K17" s="45">
        <v>0</v>
      </c>
      <c r="L17" s="45">
        <f>J17*K17</f>
        <v>0</v>
      </c>
    </row>
    <row r="18" spans="4:16" x14ac:dyDescent="0.3">
      <c r="D18" t="s">
        <v>418</v>
      </c>
      <c r="E18" s="40">
        <v>4</v>
      </c>
      <c r="F18" t="s">
        <v>429</v>
      </c>
      <c r="I18" s="46" t="s">
        <v>348</v>
      </c>
      <c r="J18" s="45">
        <v>0</v>
      </c>
      <c r="K18" s="45">
        <v>0</v>
      </c>
      <c r="L18" s="45">
        <f>J18*K18</f>
        <v>0</v>
      </c>
    </row>
    <row r="19" spans="4:16" x14ac:dyDescent="0.3">
      <c r="D19" t="s">
        <v>419</v>
      </c>
      <c r="E19" s="40">
        <v>5</v>
      </c>
      <c r="F19" t="s">
        <v>426</v>
      </c>
      <c r="I19" s="46" t="s">
        <v>349</v>
      </c>
      <c r="J19" s="45">
        <v>0</v>
      </c>
      <c r="K19" s="45">
        <v>0</v>
      </c>
      <c r="L19" s="45">
        <f>J19*K19</f>
        <v>0</v>
      </c>
    </row>
    <row r="20" spans="4:16" x14ac:dyDescent="0.3">
      <c r="D20" t="s">
        <v>420</v>
      </c>
      <c r="E20" s="40">
        <v>6</v>
      </c>
      <c r="F20" t="s">
        <v>428</v>
      </c>
      <c r="I20" s="46" t="s">
        <v>350</v>
      </c>
      <c r="J20" s="45">
        <v>0</v>
      </c>
      <c r="K20" s="45">
        <v>0</v>
      </c>
      <c r="L20" s="45">
        <f>J20*K20</f>
        <v>0</v>
      </c>
    </row>
    <row r="21" spans="4:16" x14ac:dyDescent="0.3">
      <c r="D21" t="s">
        <v>421</v>
      </c>
      <c r="E21" s="40">
        <v>7</v>
      </c>
      <c r="F21" t="s">
        <v>427</v>
      </c>
      <c r="I21" s="46" t="s">
        <v>351</v>
      </c>
      <c r="J21" s="45">
        <v>0</v>
      </c>
      <c r="K21" s="45">
        <v>0</v>
      </c>
      <c r="L21" s="45">
        <f>J21*K21</f>
        <v>0</v>
      </c>
    </row>
    <row r="22" spans="4:16" x14ac:dyDescent="0.3">
      <c r="D22" t="s">
        <v>422</v>
      </c>
      <c r="E22" s="40">
        <v>8</v>
      </c>
      <c r="I22" s="46" t="s">
        <v>352</v>
      </c>
      <c r="J22" s="45">
        <v>0</v>
      </c>
      <c r="K22" s="45">
        <v>0</v>
      </c>
      <c r="L22" s="45">
        <f>J22*K22</f>
        <v>0</v>
      </c>
    </row>
    <row r="23" spans="4:16" x14ac:dyDescent="0.3">
      <c r="D23" t="s">
        <v>431</v>
      </c>
      <c r="E23" s="40">
        <v>9</v>
      </c>
    </row>
    <row r="24" spans="4:16" x14ac:dyDescent="0.3">
      <c r="D24" t="s">
        <v>424</v>
      </c>
      <c r="E24" s="43" t="s">
        <v>425</v>
      </c>
      <c r="I24" s="2" t="s">
        <v>370</v>
      </c>
    </row>
    <row r="25" spans="4:16" x14ac:dyDescent="0.3">
      <c r="I25" s="33" t="s">
        <v>225</v>
      </c>
      <c r="J25" s="33" t="s">
        <v>14</v>
      </c>
      <c r="K25" s="38" t="s">
        <v>36</v>
      </c>
      <c r="L25" s="38" t="s">
        <v>229</v>
      </c>
      <c r="M25" s="38" t="s">
        <v>88</v>
      </c>
      <c r="N25" s="38" t="s">
        <v>224</v>
      </c>
      <c r="O25" s="38" t="s">
        <v>362</v>
      </c>
      <c r="P25" s="39" t="s">
        <v>341</v>
      </c>
    </row>
    <row r="26" spans="4:16" x14ac:dyDescent="0.3">
      <c r="H26" t="s">
        <v>87</v>
      </c>
      <c r="I26" s="46" t="s">
        <v>361</v>
      </c>
      <c r="J26" s="45">
        <v>20</v>
      </c>
      <c r="K26" s="45">
        <v>0</v>
      </c>
      <c r="L26" s="45">
        <v>1.5</v>
      </c>
      <c r="M26" s="34">
        <v>1</v>
      </c>
      <c r="N26" s="45">
        <v>5</v>
      </c>
      <c r="O26" s="45">
        <f>N26 * J26*3900*(1.6)^(K26)*M26/L26</f>
        <v>260000</v>
      </c>
      <c r="P26">
        <f>SUM(O26:O26)</f>
        <v>260000</v>
      </c>
    </row>
    <row r="27" spans="4:16" x14ac:dyDescent="0.3">
      <c r="H27" s="1" t="s">
        <v>364</v>
      </c>
      <c r="I27" s="46" t="s">
        <v>365</v>
      </c>
      <c r="J27" s="45">
        <v>0</v>
      </c>
      <c r="K27" s="45">
        <v>0</v>
      </c>
      <c r="L27" s="45">
        <v>1</v>
      </c>
      <c r="M27" s="34">
        <v>1</v>
      </c>
      <c r="N27" s="45">
        <v>0</v>
      </c>
      <c r="O27" s="45">
        <f t="shared" ref="O27:O29" si="2">N27 * J27*3900*(1.6)^(K27)*M27/L27</f>
        <v>0</v>
      </c>
      <c r="P27" s="40">
        <f>SUM(O27:O32)</f>
        <v>0</v>
      </c>
    </row>
    <row r="28" spans="4:16" x14ac:dyDescent="0.3">
      <c r="I28" s="46" t="s">
        <v>366</v>
      </c>
      <c r="J28" s="45">
        <v>0</v>
      </c>
      <c r="K28" s="45">
        <v>0</v>
      </c>
      <c r="L28" s="45">
        <v>1</v>
      </c>
      <c r="M28" s="34">
        <v>1</v>
      </c>
      <c r="N28" s="45">
        <v>0</v>
      </c>
      <c r="O28" s="45">
        <f t="shared" si="2"/>
        <v>0</v>
      </c>
    </row>
    <row r="29" spans="4:16" x14ac:dyDescent="0.3">
      <c r="I29" s="46" t="s">
        <v>367</v>
      </c>
      <c r="J29" s="45">
        <v>0</v>
      </c>
      <c r="K29" s="45">
        <v>0</v>
      </c>
      <c r="L29" s="45">
        <v>1</v>
      </c>
      <c r="M29" s="34">
        <v>1</v>
      </c>
      <c r="N29" s="45">
        <v>0</v>
      </c>
      <c r="O29" s="45">
        <f t="shared" si="2"/>
        <v>0</v>
      </c>
    </row>
    <row r="30" spans="4:16" x14ac:dyDescent="0.3">
      <c r="I30" s="46" t="s">
        <v>368</v>
      </c>
      <c r="J30" s="45">
        <v>0</v>
      </c>
      <c r="K30" s="45">
        <v>0</v>
      </c>
      <c r="L30" s="45">
        <v>1</v>
      </c>
      <c r="M30" s="34">
        <v>1</v>
      </c>
      <c r="N30" s="45">
        <v>0</v>
      </c>
      <c r="O30" s="45">
        <f t="shared" ref="O30:O31" si="3">N30 * J30*3900*(1.6)^(K30)*M30/L30</f>
        <v>0</v>
      </c>
    </row>
    <row r="31" spans="4:16" x14ac:dyDescent="0.3">
      <c r="I31" s="46" t="s">
        <v>369</v>
      </c>
      <c r="J31" s="45">
        <v>0</v>
      </c>
      <c r="K31" s="45">
        <v>0</v>
      </c>
      <c r="L31" s="45">
        <v>1</v>
      </c>
      <c r="M31" s="34">
        <v>1</v>
      </c>
      <c r="N31" s="45">
        <v>0</v>
      </c>
      <c r="O31" s="45">
        <f t="shared" si="3"/>
        <v>0</v>
      </c>
    </row>
    <row r="32" spans="4:16" x14ac:dyDescent="0.3">
      <c r="I32" s="46" t="s">
        <v>430</v>
      </c>
      <c r="J32" s="45">
        <v>0</v>
      </c>
      <c r="K32" s="45">
        <v>0</v>
      </c>
      <c r="L32" s="45">
        <v>1</v>
      </c>
      <c r="M32" s="34">
        <v>1</v>
      </c>
      <c r="N32" s="45">
        <v>0</v>
      </c>
      <c r="O32" s="45">
        <f t="shared" ref="O32" si="4">N32 * J32*3900*(1.6)^(K32)*M32/L32</f>
        <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C2:T30"/>
  <sheetViews>
    <sheetView tabSelected="1" workbookViewId="0">
      <selection activeCell="A12" sqref="A12"/>
    </sheetView>
  </sheetViews>
  <sheetFormatPr defaultRowHeight="14" x14ac:dyDescent="0.3"/>
  <cols>
    <col min="3" max="3" width="11.75" customWidth="1"/>
    <col min="5" max="5" width="8.83203125" bestFit="1" customWidth="1"/>
    <col min="6" max="6" width="9.1640625" customWidth="1"/>
    <col min="7" max="7" width="8.08203125" customWidth="1"/>
    <col min="8" max="9" width="8.9140625" customWidth="1"/>
    <col min="10" max="10" width="13.08203125" customWidth="1"/>
    <col min="11" max="11" width="11.6640625" customWidth="1"/>
    <col min="13" max="13" width="12" customWidth="1"/>
    <col min="14" max="14" width="11.5" customWidth="1"/>
    <col min="17" max="17" width="10.6640625" customWidth="1"/>
    <col min="18" max="18" width="9.9140625" customWidth="1"/>
  </cols>
  <sheetData>
    <row r="2" spans="3:20" x14ac:dyDescent="0.3">
      <c r="D2" s="33" t="s">
        <v>238</v>
      </c>
      <c r="E2" s="33" t="s">
        <v>435</v>
      </c>
      <c r="F2" s="33" t="s">
        <v>462</v>
      </c>
      <c r="G2" s="33" t="s">
        <v>463</v>
      </c>
      <c r="H2" s="33" t="s">
        <v>465</v>
      </c>
      <c r="I2" s="33" t="s">
        <v>461</v>
      </c>
      <c r="J2" s="33" t="s">
        <v>464</v>
      </c>
      <c r="K2" s="33" t="s">
        <v>460</v>
      </c>
      <c r="M2" s="35" t="s">
        <v>473</v>
      </c>
      <c r="N2" s="35" t="s">
        <v>472</v>
      </c>
      <c r="O2" s="35" t="s">
        <v>474</v>
      </c>
      <c r="P2" s="35" t="s">
        <v>471</v>
      </c>
      <c r="Q2" s="35" t="s">
        <v>476</v>
      </c>
      <c r="R2" s="35" t="s">
        <v>475</v>
      </c>
      <c r="S2" s="35" t="s">
        <v>477</v>
      </c>
      <c r="T2" s="35" t="s">
        <v>478</v>
      </c>
    </row>
    <row r="3" spans="3:20" x14ac:dyDescent="0.3">
      <c r="C3" t="s">
        <v>335</v>
      </c>
      <c r="D3" s="34">
        <v>1.5</v>
      </c>
      <c r="E3" s="27">
        <v>1.5</v>
      </c>
      <c r="F3" s="27">
        <v>1</v>
      </c>
      <c r="G3" s="27">
        <v>1</v>
      </c>
      <c r="H3" s="27">
        <v>3</v>
      </c>
      <c r="I3" s="27">
        <v>20000</v>
      </c>
      <c r="J3" s="27">
        <v>0</v>
      </c>
      <c r="K3" s="27">
        <v>0</v>
      </c>
      <c r="M3" s="27">
        <f>G3+H3*0.5+I3/D3+IF(D3&gt;3,K3*300/(D3-2),K3*300)+J3*0.5</f>
        <v>13335.833333333334</v>
      </c>
      <c r="N3" s="27">
        <f t="shared" ref="N3:R6" si="0">H3+I3*0.5+J3/E3+IF(E3&gt;3,L3*300/(E3-2),L3*300)+K3*0.5</f>
        <v>10003</v>
      </c>
      <c r="O3" s="27">
        <f t="shared" si="0"/>
        <v>4020750</v>
      </c>
      <c r="P3" s="27">
        <f t="shared" si="0"/>
        <v>3007567.9166666665</v>
      </c>
      <c r="Q3" s="27">
        <f t="shared" si="0"/>
        <v>1206234446.7777777</v>
      </c>
      <c r="R3" s="27">
        <f t="shared" si="0"/>
        <v>2062161.447369722</v>
      </c>
      <c r="S3" s="27" t="e">
        <f t="shared" ref="S3:S6" si="1">M3+N3*0.5+O3/J3+IF(J3&gt;3,Q3*300/(J3-2),Q3*300)+P3*0.5</f>
        <v>#DIV/0!</v>
      </c>
      <c r="T3" s="27" t="e">
        <f t="shared" ref="T3:T6" si="2">N3+O3*0.5+P3/K3+IF(K3&gt;3,R3*300/(K3-2),R3*300)+Q3*0.5</f>
        <v>#DIV/0!</v>
      </c>
    </row>
    <row r="4" spans="3:20" x14ac:dyDescent="0.3">
      <c r="C4" t="s">
        <v>355</v>
      </c>
      <c r="D4" s="34">
        <v>3.5</v>
      </c>
      <c r="E4" s="27">
        <v>2</v>
      </c>
      <c r="F4" s="27">
        <v>1</v>
      </c>
      <c r="G4" s="27">
        <v>1</v>
      </c>
      <c r="H4" s="27">
        <v>3</v>
      </c>
      <c r="I4" s="27">
        <v>60000</v>
      </c>
      <c r="J4" s="27">
        <v>0</v>
      </c>
      <c r="K4" s="27">
        <v>300</v>
      </c>
      <c r="M4" s="27">
        <f t="shared" ref="M4:M6" si="3">G4+H4*0.5+I4/D4+IF(D4&gt;3,K4*300/(D4-2),K4*300)+J4*0.5</f>
        <v>77145.357142857145</v>
      </c>
      <c r="N4" s="27">
        <f t="shared" si="0"/>
        <v>30153</v>
      </c>
      <c r="O4" s="27">
        <f t="shared" si="0"/>
        <v>23203907.142857142</v>
      </c>
      <c r="P4" s="27">
        <f t="shared" si="0"/>
        <v>9084622.6785714291</v>
      </c>
      <c r="Q4" s="27">
        <f t="shared" si="0"/>
        <v>6961213234.4761896</v>
      </c>
      <c r="R4" s="27">
        <f t="shared" si="0"/>
        <v>11685951.380097108</v>
      </c>
      <c r="S4" s="27" t="e">
        <f t="shared" si="1"/>
        <v>#DIV/0!</v>
      </c>
      <c r="T4" s="27">
        <f t="shared" si="2"/>
        <v>3504033386.4691091</v>
      </c>
    </row>
    <row r="5" spans="3:20" x14ac:dyDescent="0.3">
      <c r="C5" t="s">
        <v>359</v>
      </c>
      <c r="D5" s="34">
        <v>4</v>
      </c>
      <c r="E5" s="27">
        <v>2</v>
      </c>
      <c r="F5" s="27">
        <v>1</v>
      </c>
      <c r="G5" s="27">
        <v>1</v>
      </c>
      <c r="H5" s="27">
        <v>3</v>
      </c>
      <c r="I5" s="27">
        <v>50000</v>
      </c>
      <c r="J5" s="27">
        <v>260000</v>
      </c>
      <c r="K5" s="27">
        <v>0</v>
      </c>
      <c r="M5" s="27">
        <f t="shared" si="3"/>
        <v>142502.5</v>
      </c>
      <c r="N5" s="27">
        <f t="shared" si="0"/>
        <v>155003</v>
      </c>
      <c r="O5" s="27">
        <f t="shared" si="0"/>
        <v>42930750</v>
      </c>
      <c r="P5" s="27">
        <f t="shared" si="0"/>
        <v>46832151.25</v>
      </c>
      <c r="Q5" s="27">
        <f t="shared" si="0"/>
        <v>12879350002.333334</v>
      </c>
      <c r="R5" s="27">
        <f t="shared" si="0"/>
        <v>21817633.497725908</v>
      </c>
      <c r="S5" s="27">
        <f t="shared" si="1"/>
        <v>38497147.522136763</v>
      </c>
      <c r="T5" s="27" t="e">
        <f t="shared" si="2"/>
        <v>#DIV/0!</v>
      </c>
    </row>
    <row r="6" spans="3:20" x14ac:dyDescent="0.3">
      <c r="C6" s="1" t="s">
        <v>334</v>
      </c>
      <c r="D6" s="36">
        <v>1</v>
      </c>
      <c r="E6" s="37">
        <v>1</v>
      </c>
      <c r="F6" s="37">
        <v>1</v>
      </c>
      <c r="G6" s="37">
        <v>1</v>
      </c>
      <c r="H6" s="37">
        <v>3</v>
      </c>
      <c r="I6" s="37">
        <v>3</v>
      </c>
      <c r="J6" s="37">
        <v>0</v>
      </c>
      <c r="K6" s="37">
        <v>0</v>
      </c>
      <c r="M6" s="40">
        <f t="shared" si="3"/>
        <v>5.5</v>
      </c>
      <c r="N6" s="40">
        <f t="shared" si="0"/>
        <v>4.5</v>
      </c>
      <c r="O6" s="40">
        <f t="shared" si="0"/>
        <v>1653</v>
      </c>
      <c r="P6" s="40">
        <f t="shared" si="0"/>
        <v>1352.75</v>
      </c>
      <c r="Q6" s="40">
        <f t="shared" si="0"/>
        <v>495904.08333333331</v>
      </c>
      <c r="R6" s="40">
        <f t="shared" si="0"/>
        <v>406655.75</v>
      </c>
      <c r="S6" s="40" t="e">
        <f t="shared" si="1"/>
        <v>#DIV/0!</v>
      </c>
      <c r="T6" s="40" t="e">
        <f t="shared" si="2"/>
        <v>#DIV/0!</v>
      </c>
    </row>
    <row r="8" spans="3:20" x14ac:dyDescent="0.3">
      <c r="D8" s="24" t="s">
        <v>236</v>
      </c>
      <c r="E8" s="2" t="s">
        <v>459</v>
      </c>
    </row>
    <row r="9" spans="3:20" x14ac:dyDescent="0.3">
      <c r="E9" s="2" t="s">
        <v>466</v>
      </c>
    </row>
    <row r="10" spans="3:20" x14ac:dyDescent="0.3">
      <c r="E10" s="2" t="s">
        <v>467</v>
      </c>
    </row>
    <row r="11" spans="3:20" x14ac:dyDescent="0.3">
      <c r="E11" s="2" t="s">
        <v>479</v>
      </c>
    </row>
    <row r="12" spans="3:20" x14ac:dyDescent="0.3">
      <c r="E12" s="2" t="s">
        <v>468</v>
      </c>
    </row>
    <row r="13" spans="3:20" x14ac:dyDescent="0.3">
      <c r="E13" s="2" t="s">
        <v>469</v>
      </c>
    </row>
    <row r="14" spans="3:20" x14ac:dyDescent="0.3">
      <c r="E14" s="2" t="s">
        <v>470</v>
      </c>
    </row>
    <row r="15" spans="3:20" x14ac:dyDescent="0.3">
      <c r="E15" s="2"/>
    </row>
    <row r="16" spans="3:20" x14ac:dyDescent="0.3">
      <c r="C16" s="2" t="s">
        <v>238</v>
      </c>
      <c r="H16" s="2" t="s">
        <v>435</v>
      </c>
    </row>
    <row r="17" spans="3:10" x14ac:dyDescent="0.3">
      <c r="C17" s="33" t="s">
        <v>413</v>
      </c>
      <c r="D17" s="35" t="s">
        <v>414</v>
      </c>
      <c r="E17" s="33" t="s">
        <v>417</v>
      </c>
      <c r="H17" s="33" t="s">
        <v>436</v>
      </c>
      <c r="I17" s="35" t="s">
        <v>414</v>
      </c>
      <c r="J17" s="33" t="s">
        <v>447</v>
      </c>
    </row>
    <row r="18" spans="3:10" x14ac:dyDescent="0.3">
      <c r="C18" t="s">
        <v>412</v>
      </c>
      <c r="D18" s="40">
        <v>1</v>
      </c>
      <c r="H18" t="s">
        <v>437</v>
      </c>
      <c r="I18" s="40">
        <v>1</v>
      </c>
      <c r="J18" t="s">
        <v>449</v>
      </c>
    </row>
    <row r="19" spans="3:10" x14ac:dyDescent="0.3">
      <c r="C19" t="s">
        <v>415</v>
      </c>
      <c r="D19" s="40">
        <v>2</v>
      </c>
      <c r="H19" t="s">
        <v>438</v>
      </c>
      <c r="I19" s="40">
        <v>2</v>
      </c>
      <c r="J19" t="s">
        <v>450</v>
      </c>
    </row>
    <row r="20" spans="3:10" x14ac:dyDescent="0.3">
      <c r="C20" t="s">
        <v>416</v>
      </c>
      <c r="D20" s="40">
        <v>3</v>
      </c>
      <c r="H20" t="s">
        <v>439</v>
      </c>
      <c r="I20" s="40">
        <v>3</v>
      </c>
      <c r="J20" t="s">
        <v>451</v>
      </c>
    </row>
    <row r="21" spans="3:10" x14ac:dyDescent="0.3">
      <c r="C21" t="s">
        <v>418</v>
      </c>
      <c r="D21" s="40">
        <v>4</v>
      </c>
      <c r="E21" t="s">
        <v>429</v>
      </c>
      <c r="H21" t="s">
        <v>440</v>
      </c>
      <c r="I21" s="40">
        <v>5</v>
      </c>
      <c r="J21" t="s">
        <v>452</v>
      </c>
    </row>
    <row r="22" spans="3:10" x14ac:dyDescent="0.3">
      <c r="C22" t="s">
        <v>419</v>
      </c>
      <c r="D22" s="40">
        <v>5</v>
      </c>
      <c r="E22" t="s">
        <v>426</v>
      </c>
      <c r="H22" t="s">
        <v>441</v>
      </c>
      <c r="I22" s="40">
        <v>7</v>
      </c>
      <c r="J22" t="s">
        <v>453</v>
      </c>
    </row>
    <row r="23" spans="3:10" x14ac:dyDescent="0.3">
      <c r="C23" t="s">
        <v>420</v>
      </c>
      <c r="D23" s="40">
        <v>6</v>
      </c>
      <c r="E23" t="s">
        <v>428</v>
      </c>
      <c r="H23" t="s">
        <v>442</v>
      </c>
      <c r="I23" s="40">
        <v>9</v>
      </c>
      <c r="J23" t="s">
        <v>454</v>
      </c>
    </row>
    <row r="24" spans="3:10" x14ac:dyDescent="0.3">
      <c r="C24" t="s">
        <v>421</v>
      </c>
      <c r="D24" s="40">
        <v>7</v>
      </c>
      <c r="E24" t="s">
        <v>427</v>
      </c>
      <c r="H24" t="s">
        <v>443</v>
      </c>
      <c r="I24" s="40">
        <v>10</v>
      </c>
      <c r="J24" t="s">
        <v>457</v>
      </c>
    </row>
    <row r="25" spans="3:10" x14ac:dyDescent="0.3">
      <c r="C25" t="s">
        <v>422</v>
      </c>
      <c r="D25" s="40">
        <v>8</v>
      </c>
      <c r="H25" t="s">
        <v>444</v>
      </c>
      <c r="I25" s="40">
        <v>13</v>
      </c>
      <c r="J25" t="s">
        <v>458</v>
      </c>
    </row>
    <row r="26" spans="3:10" x14ac:dyDescent="0.3">
      <c r="C26" t="s">
        <v>423</v>
      </c>
      <c r="D26" s="40">
        <v>9</v>
      </c>
      <c r="H26" t="s">
        <v>445</v>
      </c>
      <c r="I26" s="40">
        <v>16</v>
      </c>
      <c r="J26" t="s">
        <v>480</v>
      </c>
    </row>
    <row r="27" spans="3:10" x14ac:dyDescent="0.3">
      <c r="C27" t="s">
        <v>424</v>
      </c>
      <c r="D27" s="44" t="s">
        <v>425</v>
      </c>
      <c r="H27" t="s">
        <v>446</v>
      </c>
      <c r="I27" s="40">
        <v>25</v>
      </c>
      <c r="J27" t="s">
        <v>456</v>
      </c>
    </row>
    <row r="29" spans="3:10" x14ac:dyDescent="0.3">
      <c r="H29" s="24" t="s">
        <v>236</v>
      </c>
      <c r="I29" s="2" t="s">
        <v>455</v>
      </c>
    </row>
    <row r="30" spans="3:10" x14ac:dyDescent="0.3">
      <c r="I30" s="2" t="s">
        <v>448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E32" sqref="E32"/>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61" workbookViewId="0">
      <selection activeCell="C106" sqref="C106"/>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45</v>
      </c>
      <c r="C107">
        <v>20000</v>
      </c>
      <c r="D107">
        <v>65000</v>
      </c>
      <c r="E107">
        <v>60</v>
      </c>
      <c r="F107">
        <f t="shared" si="12"/>
        <v>54322.033898305082</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100</v>
      </c>
      <c r="C108">
        <v>-200000</v>
      </c>
      <c r="D108">
        <v>130000</v>
      </c>
      <c r="E108">
        <v>60</v>
      </c>
      <c r="F108">
        <f t="shared" si="12"/>
        <v>359322.03389830515</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100</v>
      </c>
      <c r="C109">
        <v>-200000</v>
      </c>
      <c r="D109">
        <v>130000</v>
      </c>
      <c r="E109">
        <v>60</v>
      </c>
      <c r="F109">
        <f t="shared" si="12"/>
        <v>359322.03389830515</v>
      </c>
      <c r="H109">
        <v>100</v>
      </c>
      <c r="I109">
        <v>2000</v>
      </c>
      <c r="J109">
        <v>4000</v>
      </c>
      <c r="K109">
        <v>60</v>
      </c>
      <c r="L109">
        <f t="shared" ref="L109" si="25">(I109+(J109-I109)/(K109-1)*H109)</f>
        <v>5389.8305084745771</v>
      </c>
      <c r="M109">
        <f>L106*3</f>
        <v>4016.9491525423728</v>
      </c>
    </row>
    <row r="110" spans="2:32" x14ac:dyDescent="0.3">
      <c r="M110">
        <f>L106/L109</f>
        <v>0.24842767295597482</v>
      </c>
    </row>
    <row r="111" spans="2:32" x14ac:dyDescent="0.3">
      <c r="M111">
        <f>L109/L106</f>
        <v>4.0253164556962027</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workbookViewId="0">
      <selection activeCell="I21" sqref="I21"/>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61000</v>
      </c>
      <c r="D29">
        <v>8000</v>
      </c>
      <c r="E29">
        <v>0</v>
      </c>
      <c r="F29">
        <f>D29*(1-E29)</f>
        <v>8000</v>
      </c>
      <c r="G29">
        <f>1-(1-(F29/(F29+300)))</f>
        <v>0.96385542168674698</v>
      </c>
      <c r="H29">
        <f>(1-(F29/(F29+300)))</f>
        <v>3.6144578313253017E-2</v>
      </c>
      <c r="J29">
        <v>10000</v>
      </c>
      <c r="K29">
        <f>J29/H29</f>
        <v>276666.66666666663</v>
      </c>
      <c r="M29">
        <f>C29*(1-(F29/(F29+300)))</f>
        <v>2204.8192771084341</v>
      </c>
      <c r="N29">
        <f>M28-M29</f>
        <v>-1761.4695234138535</v>
      </c>
      <c r="O29">
        <f t="shared" si="4"/>
        <v>4.5355191256830594</v>
      </c>
      <c r="S29">
        <f>1300/18000</f>
        <v>7.2222222222222215E-2</v>
      </c>
    </row>
    <row r="30" spans="3:19" x14ac:dyDescent="0.3">
      <c r="S30">
        <f>18000/30</f>
        <v>600</v>
      </c>
    </row>
    <row r="31" spans="3:19" x14ac:dyDescent="0.3">
      <c r="C31">
        <f>25000+3.5*D31*0.9</f>
        <v>50200</v>
      </c>
      <c r="D31">
        <v>8000</v>
      </c>
      <c r="E31">
        <v>0</v>
      </c>
      <c r="F31">
        <f>D31*(1-E31)</f>
        <v>8000</v>
      </c>
      <c r="G31">
        <f>1-(1-(F31/(F31+300)))</f>
        <v>0.96385542168674698</v>
      </c>
      <c r="H31">
        <f>(1-(F31/(F31+300)))</f>
        <v>3.6144578313253017E-2</v>
      </c>
      <c r="J31">
        <v>10000</v>
      </c>
      <c r="K31">
        <f>J31/H31</f>
        <v>276666.66666666663</v>
      </c>
      <c r="M31">
        <f>C31*(1-(F31/(F31+300)))</f>
        <v>1814.4578313253014</v>
      </c>
      <c r="O31">
        <f t="shared" si="4"/>
        <v>5.5112881806108893</v>
      </c>
    </row>
    <row r="32" spans="3:19" x14ac:dyDescent="0.3">
      <c r="C32">
        <f>25000+3.5*D32*0.9</f>
        <v>88000</v>
      </c>
      <c r="D32">
        <v>20000</v>
      </c>
      <c r="E32">
        <v>0</v>
      </c>
      <c r="F32">
        <f>D32*(1-E32)</f>
        <v>20000</v>
      </c>
      <c r="G32">
        <f>1-(1-(F32/(F32+300)))</f>
        <v>0.98522167487684731</v>
      </c>
      <c r="H32">
        <f>(1-(F32/(F32+300)))</f>
        <v>1.4778325123152691E-2</v>
      </c>
      <c r="J32">
        <v>10000</v>
      </c>
      <c r="K32">
        <f>J32/H32</f>
        <v>676666.66666666744</v>
      </c>
      <c r="M32">
        <f>C32*(1-(F32/(F32+300)))</f>
        <v>1300.4926108374368</v>
      </c>
      <c r="O32">
        <f t="shared" si="4"/>
        <v>7.6893939393939483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O20" sqref="O20"/>
    </sheetView>
  </sheetViews>
  <sheetFormatPr defaultRowHeight="14" x14ac:dyDescent="0.3"/>
  <cols>
    <col min="9" max="9" width="8.25" customWidth="1"/>
    <col min="10" max="10" width="8" customWidth="1"/>
    <col min="11" max="11" width="9.914062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388</v>
      </c>
    </row>
    <row r="3" spans="2:22" x14ac:dyDescent="0.3">
      <c r="C3" t="s">
        <v>123</v>
      </c>
      <c r="D3" t="s">
        <v>124</v>
      </c>
      <c r="E3" t="s">
        <v>125</v>
      </c>
      <c r="J3" t="s">
        <v>389</v>
      </c>
      <c r="K3" t="s">
        <v>390</v>
      </c>
      <c r="L3" t="s">
        <v>391</v>
      </c>
      <c r="M3" t="s">
        <v>395</v>
      </c>
      <c r="N3" t="s">
        <v>396</v>
      </c>
      <c r="O3" t="s">
        <v>394</v>
      </c>
      <c r="P3" t="s">
        <v>397</v>
      </c>
      <c r="Q3" t="s">
        <v>392</v>
      </c>
      <c r="R3" t="s">
        <v>400</v>
      </c>
      <c r="S3" t="s">
        <v>401</v>
      </c>
      <c r="T3" t="s">
        <v>393</v>
      </c>
      <c r="U3" t="s">
        <v>398</v>
      </c>
      <c r="V3" t="s">
        <v>399</v>
      </c>
    </row>
    <row r="4" spans="2:22" x14ac:dyDescent="0.3">
      <c r="C4">
        <v>10</v>
      </c>
      <c r="D4">
        <f>C4*120</f>
        <v>1200</v>
      </c>
      <c r="J4">
        <v>1</v>
      </c>
      <c r="K4">
        <f xml:space="preserve"> (J4- 1) * (J4 - 1) * (J4 - 1) + 1</f>
        <v>1</v>
      </c>
      <c r="L4">
        <f>_xlfn.FLOOR.MATH(0.5*(J4-1)*(J4-1)*(J4-1)+1)</f>
        <v>1</v>
      </c>
      <c r="M4">
        <v>0</v>
      </c>
      <c r="N4">
        <v>0</v>
      </c>
      <c r="O4" s="41">
        <f>0.25*(1+(J4-1)^4.2/216)-1</f>
        <v>-0.75</v>
      </c>
      <c r="P4" s="41">
        <f>0.5*(1+(J4-1)^4.2/216)-0.7</f>
        <v>-0.19999999999999996</v>
      </c>
      <c r="Q4" s="41"/>
      <c r="R4">
        <f t="shared" ref="R4:R16" si="0">J4*200+600</f>
        <v>800</v>
      </c>
      <c r="S4">
        <f>M4*R4</f>
        <v>0</v>
      </c>
      <c r="T4" s="41"/>
    </row>
    <row r="5" spans="2:22" x14ac:dyDescent="0.3">
      <c r="D5">
        <f>C4*C4*10</f>
        <v>1000</v>
      </c>
      <c r="E5">
        <f>D5+100000/100</f>
        <v>2000</v>
      </c>
      <c r="J5">
        <v>2</v>
      </c>
      <c r="K5">
        <f t="shared" ref="K5:K15" si="1" xml:space="preserve"> (J5- 1) * (J5 - 1) * (J5 - 1) + 1</f>
        <v>2</v>
      </c>
      <c r="L5">
        <f t="shared" ref="L5:L15" si="2">_xlfn.FLOOR.MATH(0.5*(J5-1)*(J5-1)*(J5-1)+1)</f>
        <v>1</v>
      </c>
      <c r="M5">
        <f>SUM(K4:K4)</f>
        <v>1</v>
      </c>
      <c r="N5">
        <f>SUM(L4:L4)</f>
        <v>1</v>
      </c>
      <c r="O5" s="41">
        <f t="shared" ref="O5:O16" si="3">0.25*(1+(J5-1)^4.2/216)-1</f>
        <v>-0.74884259259259256</v>
      </c>
      <c r="P5" s="41">
        <f t="shared" ref="P5:P16" si="4">0.5*(1+(J5-1)^4.2/216)-0.7</f>
        <v>-0.19768518518518519</v>
      </c>
      <c r="Q5" s="41">
        <f t="shared" ref="Q5:Q16" si="5">O5/M5</f>
        <v>-0.74884259259259256</v>
      </c>
      <c r="R5">
        <f t="shared" si="0"/>
        <v>1000</v>
      </c>
      <c r="S5">
        <f t="shared" ref="S5:S16" si="6">M5*R5</f>
        <v>1000</v>
      </c>
      <c r="T5" s="41">
        <f>O5/N5</f>
        <v>-0.74884259259259256</v>
      </c>
      <c r="U5" s="41">
        <f>P5/M5</f>
        <v>-0.19768518518518519</v>
      </c>
      <c r="V5" s="41">
        <f>P5/N5</f>
        <v>-0.19768518518518519</v>
      </c>
    </row>
    <row r="6" spans="2:22" x14ac:dyDescent="0.3">
      <c r="J6">
        <v>3</v>
      </c>
      <c r="K6">
        <f t="shared" si="1"/>
        <v>9</v>
      </c>
      <c r="L6">
        <f t="shared" si="2"/>
        <v>5</v>
      </c>
      <c r="M6">
        <f>SUM(K4:K5)</f>
        <v>3</v>
      </c>
      <c r="N6">
        <f>SUM(L4:L5)</f>
        <v>2</v>
      </c>
      <c r="O6" s="41">
        <f t="shared" si="3"/>
        <v>-0.72872780824079564</v>
      </c>
      <c r="P6" s="41">
        <f t="shared" si="4"/>
        <v>-0.15745561648159123</v>
      </c>
      <c r="Q6" s="41">
        <f t="shared" si="5"/>
        <v>-0.24290926941359856</v>
      </c>
      <c r="R6">
        <f t="shared" si="0"/>
        <v>1200</v>
      </c>
      <c r="S6">
        <f t="shared" si="6"/>
        <v>3600</v>
      </c>
      <c r="T6" s="41">
        <f t="shared" ref="T6:T16" si="7">O6/N6</f>
        <v>-0.36436390412039782</v>
      </c>
      <c r="U6" s="41">
        <f t="shared" ref="U6:U16" si="8">P6/M6</f>
        <v>-5.2485205493863742E-2</v>
      </c>
      <c r="V6" s="41">
        <f t="shared" ref="V6:V15" si="9">P6/N6</f>
        <v>-7.8727808240795616E-2</v>
      </c>
    </row>
    <row r="7" spans="2:22" x14ac:dyDescent="0.3">
      <c r="J7">
        <v>4</v>
      </c>
      <c r="K7">
        <f t="shared" si="1"/>
        <v>28</v>
      </c>
      <c r="L7">
        <f t="shared" si="2"/>
        <v>14</v>
      </c>
      <c r="M7">
        <f>SUM(K4:K6)</f>
        <v>12</v>
      </c>
      <c r="N7">
        <f>SUM(L4:L6)</f>
        <v>7</v>
      </c>
      <c r="O7" s="41">
        <f t="shared" si="3"/>
        <v>-0.63321272441104515</v>
      </c>
      <c r="P7" s="41">
        <f t="shared" si="4"/>
        <v>3.3574551177909751E-2</v>
      </c>
      <c r="Q7" s="41">
        <f t="shared" si="5"/>
        <v>-5.276772703425376E-2</v>
      </c>
      <c r="R7">
        <f t="shared" si="0"/>
        <v>1400</v>
      </c>
      <c r="S7">
        <f t="shared" si="6"/>
        <v>16800</v>
      </c>
      <c r="T7" s="41">
        <f t="shared" si="7"/>
        <v>-9.0458960630149313E-2</v>
      </c>
      <c r="U7" s="41">
        <f t="shared" si="8"/>
        <v>2.7978792648258124E-3</v>
      </c>
      <c r="V7" s="41">
        <f t="shared" si="9"/>
        <v>4.7963644539871075E-3</v>
      </c>
    </row>
    <row r="8" spans="2:22" x14ac:dyDescent="0.3">
      <c r="B8" t="s">
        <v>127</v>
      </c>
      <c r="J8">
        <v>5</v>
      </c>
      <c r="K8">
        <f t="shared" si="1"/>
        <v>65</v>
      </c>
      <c r="L8">
        <f t="shared" si="2"/>
        <v>33</v>
      </c>
      <c r="M8">
        <f>SUM(K4:K7)</f>
        <v>40</v>
      </c>
      <c r="N8">
        <f>SUM(L4:L7)</f>
        <v>21</v>
      </c>
      <c r="O8" s="41">
        <f t="shared" si="3"/>
        <v>-0.35903469310432778</v>
      </c>
      <c r="P8" s="41">
        <f t="shared" si="4"/>
        <v>0.58193061379134448</v>
      </c>
      <c r="Q8" s="41">
        <f t="shared" si="5"/>
        <v>-8.9758673276081943E-3</v>
      </c>
      <c r="R8">
        <f t="shared" si="0"/>
        <v>1600</v>
      </c>
      <c r="S8">
        <f t="shared" si="6"/>
        <v>64000</v>
      </c>
      <c r="T8" s="41">
        <f t="shared" si="7"/>
        <v>-1.7096890147825134E-2</v>
      </c>
      <c r="U8" s="41">
        <f t="shared" si="8"/>
        <v>1.4548265344783613E-2</v>
      </c>
      <c r="V8" s="41">
        <f t="shared" si="9"/>
        <v>2.7710981609111642E-2</v>
      </c>
    </row>
    <row r="9" spans="2:22" x14ac:dyDescent="0.3">
      <c r="C9" t="s">
        <v>90</v>
      </c>
      <c r="D9" t="s">
        <v>128</v>
      </c>
      <c r="J9">
        <v>6</v>
      </c>
      <c r="K9">
        <f t="shared" si="1"/>
        <v>126</v>
      </c>
      <c r="L9">
        <f t="shared" si="2"/>
        <v>63</v>
      </c>
      <c r="M9">
        <f>SUM(K4:K8)</f>
        <v>105</v>
      </c>
      <c r="N9">
        <f>SUM(L4:L8)</f>
        <v>54</v>
      </c>
      <c r="O9" s="41">
        <f t="shared" si="3"/>
        <v>0.24806833149682728</v>
      </c>
      <c r="P9" s="41">
        <f t="shared" si="4"/>
        <v>1.7961366629936546</v>
      </c>
      <c r="Q9" s="41">
        <f t="shared" si="5"/>
        <v>2.3625555380650215E-3</v>
      </c>
      <c r="R9">
        <f t="shared" si="0"/>
        <v>1800</v>
      </c>
      <c r="S9">
        <f t="shared" si="6"/>
        <v>189000</v>
      </c>
      <c r="T9" s="41">
        <f t="shared" si="7"/>
        <v>4.5938579906819868E-3</v>
      </c>
      <c r="U9" s="41">
        <f t="shared" si="8"/>
        <v>1.7106063457082425E-2</v>
      </c>
      <c r="V9" s="41">
        <f t="shared" si="9"/>
        <v>3.3261790055438049E-2</v>
      </c>
    </row>
    <row r="10" spans="2:22" x14ac:dyDescent="0.3">
      <c r="C10">
        <v>1</v>
      </c>
      <c r="D10">
        <f>2500+C10*2500</f>
        <v>5000</v>
      </c>
      <c r="J10">
        <v>7</v>
      </c>
      <c r="K10">
        <f t="shared" si="1"/>
        <v>217</v>
      </c>
      <c r="L10">
        <f t="shared" si="2"/>
        <v>109</v>
      </c>
      <c r="M10">
        <f>SUM(K4:K9)</f>
        <v>231</v>
      </c>
      <c r="N10">
        <f>SUM(L4:L9)</f>
        <v>117</v>
      </c>
      <c r="O10" s="41">
        <f t="shared" si="3"/>
        <v>1.396453621657884</v>
      </c>
      <c r="P10" s="41">
        <f t="shared" si="4"/>
        <v>4.0929072433157678</v>
      </c>
      <c r="Q10" s="41">
        <f t="shared" si="5"/>
        <v>6.0452537734107534E-3</v>
      </c>
      <c r="R10">
        <f t="shared" si="0"/>
        <v>2000</v>
      </c>
      <c r="S10">
        <f t="shared" si="6"/>
        <v>462000</v>
      </c>
      <c r="T10" s="41">
        <f t="shared" si="7"/>
        <v>1.1935501039810975E-2</v>
      </c>
      <c r="U10" s="41">
        <f t="shared" si="8"/>
        <v>1.7718213174527132E-2</v>
      </c>
      <c r="V10" s="41">
        <f t="shared" si="9"/>
        <v>3.4982113190733057E-2</v>
      </c>
    </row>
    <row r="11" spans="2:22" x14ac:dyDescent="0.3">
      <c r="C11">
        <v>2</v>
      </c>
      <c r="D11">
        <f>2500+C11*2500</f>
        <v>7500</v>
      </c>
      <c r="J11">
        <v>8</v>
      </c>
      <c r="K11">
        <f t="shared" si="1"/>
        <v>344</v>
      </c>
      <c r="L11">
        <f t="shared" si="2"/>
        <v>172</v>
      </c>
      <c r="M11">
        <f>SUM(K4:K10)</f>
        <v>448</v>
      </c>
      <c r="N11">
        <f>SUM(L4:L10)</f>
        <v>226</v>
      </c>
      <c r="O11" s="41">
        <f t="shared" si="3"/>
        <v>3.3510779641070823</v>
      </c>
      <c r="P11" s="41">
        <f t="shared" si="4"/>
        <v>8.0021559282141652</v>
      </c>
      <c r="Q11" s="41">
        <f t="shared" si="5"/>
        <v>7.4800847413104511E-3</v>
      </c>
      <c r="R11">
        <f t="shared" si="0"/>
        <v>2200</v>
      </c>
      <c r="S11">
        <f t="shared" si="6"/>
        <v>985600</v>
      </c>
      <c r="T11" s="41">
        <f t="shared" si="7"/>
        <v>1.4827778602243727E-2</v>
      </c>
      <c r="U11" s="41">
        <f t="shared" si="8"/>
        <v>1.7861955196906618E-2</v>
      </c>
      <c r="V11" s="41">
        <f t="shared" si="9"/>
        <v>3.5407769593867988E-2</v>
      </c>
    </row>
    <row r="12" spans="2:22" x14ac:dyDescent="0.3">
      <c r="C12">
        <v>3</v>
      </c>
      <c r="D12">
        <f t="shared" ref="D12:D18" si="10">2500+C12*2500</f>
        <v>10000</v>
      </c>
      <c r="J12">
        <v>9</v>
      </c>
      <c r="K12">
        <f t="shared" si="1"/>
        <v>513</v>
      </c>
      <c r="L12">
        <f t="shared" si="2"/>
        <v>257</v>
      </c>
      <c r="M12">
        <f>SUM(K4:K11)</f>
        <v>792</v>
      </c>
      <c r="N12">
        <f>SUM(L4:L11)</f>
        <v>398</v>
      </c>
      <c r="O12" s="41">
        <f t="shared" si="3"/>
        <v>6.4356192782715125</v>
      </c>
      <c r="P12" s="41">
        <f t="shared" si="4"/>
        <v>14.171238556543026</v>
      </c>
      <c r="Q12" s="41">
        <f t="shared" si="5"/>
        <v>8.125781917009486E-3</v>
      </c>
      <c r="R12">
        <f t="shared" si="0"/>
        <v>2400</v>
      </c>
      <c r="S12">
        <f t="shared" si="6"/>
        <v>1900800</v>
      </c>
      <c r="T12" s="41">
        <f t="shared" si="7"/>
        <v>1.6169897684099276E-2</v>
      </c>
      <c r="U12" s="41">
        <f t="shared" si="8"/>
        <v>1.7892977975433114E-2</v>
      </c>
      <c r="V12" s="41">
        <f t="shared" si="9"/>
        <v>3.5606127026490013E-2</v>
      </c>
    </row>
    <row r="13" spans="2:22" x14ac:dyDescent="0.3">
      <c r="C13">
        <v>4</v>
      </c>
      <c r="D13">
        <f t="shared" si="10"/>
        <v>12500</v>
      </c>
      <c r="J13">
        <v>10</v>
      </c>
      <c r="K13">
        <f t="shared" si="1"/>
        <v>730</v>
      </c>
      <c r="L13">
        <f t="shared" si="2"/>
        <v>365</v>
      </c>
      <c r="M13">
        <f>SUM(K4:K12)</f>
        <v>1305</v>
      </c>
      <c r="N13">
        <f>SUM(L4:L12)</f>
        <v>655</v>
      </c>
      <c r="O13" s="41">
        <f t="shared" si="3"/>
        <v>11.034327326919785</v>
      </c>
      <c r="P13" s="41">
        <f t="shared" si="4"/>
        <v>23.36865465383957</v>
      </c>
      <c r="Q13" s="41">
        <f t="shared" si="5"/>
        <v>8.4554232390189922E-3</v>
      </c>
      <c r="R13">
        <f t="shared" si="0"/>
        <v>2600</v>
      </c>
      <c r="S13">
        <f t="shared" si="6"/>
        <v>3393000</v>
      </c>
      <c r="T13" s="41">
        <f t="shared" si="7"/>
        <v>1.6846301262472954E-2</v>
      </c>
      <c r="U13" s="41">
        <f t="shared" si="8"/>
        <v>1.7907015060413464E-2</v>
      </c>
      <c r="V13" s="41">
        <f t="shared" si="9"/>
        <v>3.5677335349373389E-2</v>
      </c>
    </row>
    <row r="14" spans="2:22" x14ac:dyDescent="0.3">
      <c r="C14">
        <v>5</v>
      </c>
      <c r="D14">
        <f t="shared" si="10"/>
        <v>15000</v>
      </c>
      <c r="J14">
        <v>11</v>
      </c>
      <c r="K14">
        <f t="shared" si="1"/>
        <v>1001</v>
      </c>
      <c r="L14">
        <f t="shared" si="2"/>
        <v>501</v>
      </c>
      <c r="M14">
        <f>SUM(K4:K13)</f>
        <v>2035</v>
      </c>
      <c r="N14">
        <f>SUM(L4:L13)</f>
        <v>1020</v>
      </c>
      <c r="O14" s="41">
        <f t="shared" si="3"/>
        <v>17.593671209040679</v>
      </c>
      <c r="P14" s="41">
        <f t="shared" si="4"/>
        <v>36.487342418081354</v>
      </c>
      <c r="Q14" s="41">
        <f t="shared" si="5"/>
        <v>8.6455386776612669E-3</v>
      </c>
      <c r="R14">
        <f t="shared" si="0"/>
        <v>2800</v>
      </c>
      <c r="S14">
        <f t="shared" si="6"/>
        <v>5698000</v>
      </c>
      <c r="T14" s="41">
        <f t="shared" si="7"/>
        <v>1.7248697263765371E-2</v>
      </c>
      <c r="U14" s="41">
        <f t="shared" si="8"/>
        <v>1.7929897994143171E-2</v>
      </c>
      <c r="V14" s="41">
        <f t="shared" si="9"/>
        <v>3.577190433145231E-2</v>
      </c>
    </row>
    <row r="15" spans="2:22" x14ac:dyDescent="0.3">
      <c r="C15">
        <v>6</v>
      </c>
      <c r="D15">
        <f t="shared" si="10"/>
        <v>17500</v>
      </c>
      <c r="J15">
        <v>12</v>
      </c>
      <c r="K15">
        <f t="shared" si="1"/>
        <v>1332</v>
      </c>
      <c r="L15">
        <f t="shared" si="2"/>
        <v>666</v>
      </c>
      <c r="M15">
        <f>SUM(K4:K14)</f>
        <v>3036</v>
      </c>
      <c r="N15">
        <f>SUM(L4:L14)</f>
        <v>1521</v>
      </c>
      <c r="O15" s="41">
        <f t="shared" si="3"/>
        <v>26.623828068826533</v>
      </c>
      <c r="P15" s="41">
        <f t="shared" si="4"/>
        <v>54.547656137653064</v>
      </c>
      <c r="Q15" s="41">
        <f t="shared" si="5"/>
        <v>8.7693768342643388E-3</v>
      </c>
      <c r="R15">
        <f t="shared" si="0"/>
        <v>3000</v>
      </c>
      <c r="S15">
        <f t="shared" si="6"/>
        <v>9108000</v>
      </c>
      <c r="T15" s="41">
        <f t="shared" si="7"/>
        <v>1.7504160466026649E-2</v>
      </c>
      <c r="U15" s="41">
        <f t="shared" si="8"/>
        <v>1.7966948661941061E-2</v>
      </c>
      <c r="V15" s="41">
        <f t="shared" si="9"/>
        <v>3.586302178675415E-2</v>
      </c>
    </row>
    <row r="16" spans="2:22" x14ac:dyDescent="0.3">
      <c r="C16">
        <v>7</v>
      </c>
      <c r="D16">
        <f t="shared" si="10"/>
        <v>20000</v>
      </c>
      <c r="J16">
        <v>13</v>
      </c>
      <c r="M16">
        <f>SUM(K4:K15)</f>
        <v>4368</v>
      </c>
      <c r="N16">
        <f>SUM(L4:L15)</f>
        <v>2187</v>
      </c>
      <c r="O16" s="41">
        <f t="shared" si="3"/>
        <v>38.700043908413448</v>
      </c>
      <c r="P16" s="41">
        <f t="shared" si="4"/>
        <v>78.700087816826894</v>
      </c>
      <c r="Q16" s="41">
        <f t="shared" si="5"/>
        <v>8.8599001621825664E-3</v>
      </c>
      <c r="R16">
        <f t="shared" si="0"/>
        <v>3200</v>
      </c>
      <c r="S16">
        <f t="shared" si="6"/>
        <v>13977600</v>
      </c>
      <c r="T16" s="41">
        <f t="shared" si="7"/>
        <v>1.7695493328035414E-2</v>
      </c>
      <c r="U16" s="41">
        <f t="shared" si="8"/>
        <v>1.8017419371984179E-2</v>
      </c>
      <c r="V16" s="41">
        <f>P16/N16</f>
        <v>3.5985408238146728E-2</v>
      </c>
    </row>
    <row r="17" spans="3:4" x14ac:dyDescent="0.3">
      <c r="C17">
        <v>8</v>
      </c>
      <c r="D17">
        <f t="shared" si="10"/>
        <v>22500</v>
      </c>
    </row>
    <row r="18" spans="3:4" x14ac:dyDescent="0.3">
      <c r="C18">
        <v>9</v>
      </c>
      <c r="D18">
        <f t="shared" si="10"/>
        <v>25000</v>
      </c>
    </row>
    <row r="19" spans="3:4" x14ac:dyDescent="0.3">
      <c r="C19">
        <v>10</v>
      </c>
      <c r="D19">
        <f>C19*5000-20000</f>
        <v>30000</v>
      </c>
    </row>
    <row r="20" spans="3:4" x14ac:dyDescent="0.3">
      <c r="C20">
        <v>11</v>
      </c>
      <c r="D20">
        <f t="shared" ref="D20:D58" si="11">C20*5000-20000</f>
        <v>35000</v>
      </c>
    </row>
    <row r="21" spans="3:4" x14ac:dyDescent="0.3">
      <c r="C21">
        <v>12</v>
      </c>
      <c r="D21">
        <f t="shared" si="11"/>
        <v>40000</v>
      </c>
    </row>
    <row r="22" spans="3:4" x14ac:dyDescent="0.3">
      <c r="C22">
        <v>13</v>
      </c>
      <c r="D22">
        <f t="shared" si="11"/>
        <v>45000</v>
      </c>
    </row>
    <row r="23" spans="3:4" x14ac:dyDescent="0.3">
      <c r="C23">
        <v>14</v>
      </c>
      <c r="D23">
        <f t="shared" si="11"/>
        <v>50000</v>
      </c>
    </row>
    <row r="24" spans="3:4" x14ac:dyDescent="0.3">
      <c r="C24">
        <v>15</v>
      </c>
      <c r="D24">
        <f t="shared" si="11"/>
        <v>55000</v>
      </c>
    </row>
    <row r="25" spans="3:4" x14ac:dyDescent="0.3">
      <c r="C25">
        <v>16</v>
      </c>
      <c r="D25">
        <f t="shared" si="11"/>
        <v>60000</v>
      </c>
    </row>
    <row r="26" spans="3:4" x14ac:dyDescent="0.3">
      <c r="C26">
        <v>17</v>
      </c>
      <c r="D26">
        <f t="shared" si="11"/>
        <v>65000</v>
      </c>
    </row>
    <row r="27" spans="3:4" x14ac:dyDescent="0.3">
      <c r="C27">
        <v>18</v>
      </c>
      <c r="D27">
        <f t="shared" si="11"/>
        <v>70000</v>
      </c>
    </row>
    <row r="28" spans="3:4" x14ac:dyDescent="0.3">
      <c r="C28">
        <v>19</v>
      </c>
      <c r="D28">
        <f t="shared" si="11"/>
        <v>75000</v>
      </c>
    </row>
    <row r="29" spans="3:4" x14ac:dyDescent="0.3">
      <c r="C29">
        <v>20</v>
      </c>
      <c r="D29">
        <f t="shared" si="11"/>
        <v>80000</v>
      </c>
    </row>
    <row r="30" spans="3:4" x14ac:dyDescent="0.3">
      <c r="C30">
        <v>21</v>
      </c>
      <c r="D30">
        <f t="shared" si="11"/>
        <v>85000</v>
      </c>
    </row>
    <row r="31" spans="3:4" x14ac:dyDescent="0.3">
      <c r="C31">
        <v>22</v>
      </c>
      <c r="D31">
        <f t="shared" si="11"/>
        <v>90000</v>
      </c>
    </row>
    <row r="32" spans="3:4" x14ac:dyDescent="0.3">
      <c r="C32">
        <v>23</v>
      </c>
      <c r="D32">
        <f t="shared" si="11"/>
        <v>95000</v>
      </c>
    </row>
    <row r="33" spans="3:4" x14ac:dyDescent="0.3">
      <c r="C33">
        <v>24</v>
      </c>
      <c r="D33">
        <f t="shared" si="11"/>
        <v>100000</v>
      </c>
    </row>
    <row r="34" spans="3:4" x14ac:dyDescent="0.3">
      <c r="C34">
        <v>25</v>
      </c>
      <c r="D34">
        <f t="shared" si="11"/>
        <v>105000</v>
      </c>
    </row>
    <row r="35" spans="3:4" x14ac:dyDescent="0.3">
      <c r="C35">
        <v>26</v>
      </c>
      <c r="D35">
        <f t="shared" si="11"/>
        <v>110000</v>
      </c>
    </row>
    <row r="36" spans="3:4" x14ac:dyDescent="0.3">
      <c r="C36">
        <v>27</v>
      </c>
      <c r="D36">
        <f t="shared" si="11"/>
        <v>115000</v>
      </c>
    </row>
    <row r="37" spans="3:4" x14ac:dyDescent="0.3">
      <c r="C37">
        <v>28</v>
      </c>
      <c r="D37">
        <f t="shared" si="11"/>
        <v>120000</v>
      </c>
    </row>
    <row r="38" spans="3:4" x14ac:dyDescent="0.3">
      <c r="C38">
        <v>29</v>
      </c>
      <c r="D38">
        <f t="shared" si="11"/>
        <v>125000</v>
      </c>
    </row>
    <row r="39" spans="3:4" x14ac:dyDescent="0.3">
      <c r="C39">
        <v>30</v>
      </c>
      <c r="D39">
        <f t="shared" si="11"/>
        <v>130000</v>
      </c>
    </row>
    <row r="40" spans="3:4" x14ac:dyDescent="0.3">
      <c r="C40">
        <v>31</v>
      </c>
      <c r="D40">
        <f t="shared" si="11"/>
        <v>135000</v>
      </c>
    </row>
    <row r="41" spans="3:4" x14ac:dyDescent="0.3">
      <c r="C41">
        <v>32</v>
      </c>
      <c r="D41">
        <f t="shared" si="11"/>
        <v>140000</v>
      </c>
    </row>
    <row r="42" spans="3:4" x14ac:dyDescent="0.3">
      <c r="C42">
        <v>33</v>
      </c>
      <c r="D42">
        <f t="shared" si="11"/>
        <v>145000</v>
      </c>
    </row>
    <row r="43" spans="3:4" x14ac:dyDescent="0.3">
      <c r="C43">
        <v>34</v>
      </c>
      <c r="D43">
        <f>C43*5000-20000</f>
        <v>150000</v>
      </c>
    </row>
    <row r="44" spans="3:4" x14ac:dyDescent="0.3">
      <c r="C44">
        <v>35</v>
      </c>
      <c r="D44">
        <f t="shared" si="11"/>
        <v>155000</v>
      </c>
    </row>
    <row r="45" spans="3:4" x14ac:dyDescent="0.3">
      <c r="C45">
        <v>36</v>
      </c>
      <c r="D45">
        <f t="shared" si="11"/>
        <v>160000</v>
      </c>
    </row>
    <row r="46" spans="3:4" x14ac:dyDescent="0.3">
      <c r="C46">
        <v>37</v>
      </c>
      <c r="D46">
        <f t="shared" si="11"/>
        <v>165000</v>
      </c>
    </row>
    <row r="47" spans="3:4" x14ac:dyDescent="0.3">
      <c r="C47">
        <v>38</v>
      </c>
      <c r="D47">
        <f t="shared" si="11"/>
        <v>170000</v>
      </c>
    </row>
    <row r="48" spans="3:4" x14ac:dyDescent="0.3">
      <c r="C48">
        <v>39</v>
      </c>
      <c r="D48">
        <f t="shared" si="11"/>
        <v>175000</v>
      </c>
    </row>
    <row r="49" spans="3:4" x14ac:dyDescent="0.3">
      <c r="C49">
        <v>40</v>
      </c>
      <c r="D49">
        <f t="shared" si="11"/>
        <v>180000</v>
      </c>
    </row>
    <row r="50" spans="3:4" x14ac:dyDescent="0.3">
      <c r="C50">
        <v>41</v>
      </c>
      <c r="D50">
        <f t="shared" si="11"/>
        <v>185000</v>
      </c>
    </row>
    <row r="51" spans="3:4" x14ac:dyDescent="0.3">
      <c r="C51">
        <v>42</v>
      </c>
      <c r="D51">
        <f t="shared" si="11"/>
        <v>190000</v>
      </c>
    </row>
    <row r="52" spans="3:4" x14ac:dyDescent="0.3">
      <c r="C52">
        <v>43</v>
      </c>
      <c r="D52">
        <f t="shared" si="11"/>
        <v>195000</v>
      </c>
    </row>
    <row r="53" spans="3:4" x14ac:dyDescent="0.3">
      <c r="C53">
        <v>44</v>
      </c>
      <c r="D53">
        <f t="shared" si="11"/>
        <v>200000</v>
      </c>
    </row>
    <row r="54" spans="3:4" x14ac:dyDescent="0.3">
      <c r="C54">
        <v>45</v>
      </c>
      <c r="D54">
        <f t="shared" si="11"/>
        <v>205000</v>
      </c>
    </row>
    <row r="55" spans="3:4" x14ac:dyDescent="0.3">
      <c r="C55">
        <v>46</v>
      </c>
      <c r="D55">
        <f t="shared" si="11"/>
        <v>210000</v>
      </c>
    </row>
    <row r="56" spans="3:4" x14ac:dyDescent="0.3">
      <c r="C56">
        <v>47</v>
      </c>
      <c r="D56">
        <f t="shared" si="11"/>
        <v>215000</v>
      </c>
    </row>
    <row r="57" spans="3:4" x14ac:dyDescent="0.3">
      <c r="C57">
        <v>48</v>
      </c>
      <c r="D57">
        <f t="shared" si="11"/>
        <v>220000</v>
      </c>
    </row>
    <row r="58" spans="3:4" x14ac:dyDescent="0.3">
      <c r="C58">
        <v>49</v>
      </c>
      <c r="D58">
        <f t="shared" si="11"/>
        <v>225000</v>
      </c>
    </row>
    <row r="59" spans="3:4" x14ac:dyDescent="0.3">
      <c r="C59">
        <v>50</v>
      </c>
      <c r="D59">
        <f t="shared" ref="D59:D64" si="12">C59*25000-1000000</f>
        <v>250000</v>
      </c>
    </row>
    <row r="60" spans="3:4" x14ac:dyDescent="0.3">
      <c r="C60">
        <v>51</v>
      </c>
      <c r="D60">
        <f t="shared" si="12"/>
        <v>275000</v>
      </c>
    </row>
    <row r="61" spans="3:4" x14ac:dyDescent="0.3">
      <c r="C61">
        <v>52</v>
      </c>
      <c r="D61">
        <f t="shared" si="12"/>
        <v>300000</v>
      </c>
    </row>
    <row r="62" spans="3:4" x14ac:dyDescent="0.3">
      <c r="C62">
        <v>53</v>
      </c>
      <c r="D62">
        <f t="shared" si="12"/>
        <v>325000</v>
      </c>
    </row>
    <row r="63" spans="3:4" x14ac:dyDescent="0.3">
      <c r="C63">
        <v>54</v>
      </c>
      <c r="D63">
        <f t="shared" si="12"/>
        <v>350000</v>
      </c>
    </row>
    <row r="64" spans="3:4"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技能</vt:lpstr>
      <vt:lpstr>装备价格</vt:lpstr>
      <vt:lpstr>合成表成本</vt:lpstr>
      <vt:lpstr>副本收益</vt:lpstr>
      <vt:lpstr>怪物大致面板</vt:lpstr>
      <vt:lpstr>敌方或战宠经验</vt:lpstr>
      <vt:lpstr>根据等级计算怪物属性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2024-11-08T19:24:12Z</dcterms:modified>
</cp:coreProperties>
</file>