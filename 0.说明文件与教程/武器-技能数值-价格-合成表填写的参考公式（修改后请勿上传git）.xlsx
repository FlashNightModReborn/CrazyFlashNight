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63E1CBD5-EDF8-478D-94D4-EADCCFC1AADD}" xr6:coauthVersionLast="47" xr6:coauthVersionMax="47" xr10:uidLastSave="{00000000-0000-0000-0000-000000000000}"/>
  <bookViews>
    <workbookView xWindow="-110" yWindow="-110" windowWidth="25820" windowHeight="13900" tabRatio="651" activeTab="1"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敌方或战宠经验" sheetId="6" r:id="rId9"/>
    <sheet name="根据等级计算怪物属性" sheetId="7" r:id="rId10"/>
    <sheet name="伤害公式" sheetId="8" r:id="rId11"/>
    <sheet name="其余计算" sheetId="9" r:id="rId12"/>
    <sheet name="旧版-枪械" sheetId="1" r:id="rId1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16" i="10" l="1"/>
  <c r="O15" i="10"/>
  <c r="O4" i="10"/>
  <c r="O5" i="10"/>
  <c r="O6" i="10"/>
  <c r="O7" i="10"/>
  <c r="O8" i="10"/>
  <c r="O9" i="10"/>
  <c r="O3" i="10"/>
  <c r="S13" i="10"/>
  <c r="T13" i="10"/>
  <c r="P10" i="10" l="1"/>
  <c r="H13" i="3"/>
  <c r="H12" i="3"/>
  <c r="Q19" i="13"/>
  <c r="Q20" i="13"/>
  <c r="Q16" i="13"/>
  <c r="Q17" i="13"/>
  <c r="Q18"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M5" i="13"/>
  <c r="M6" i="13"/>
  <c r="M7" i="13"/>
  <c r="M4" i="13"/>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F17"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T5" i="9" l="1"/>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5" i="13"/>
  <c r="O6" i="13"/>
  <c r="O7" i="13"/>
  <c r="O4" i="13"/>
  <c r="R16" i="13"/>
  <c r="R15" i="13"/>
  <c r="Q15" i="13"/>
  <c r="H15" i="13"/>
  <c r="G16" i="13"/>
  <c r="G17" i="13"/>
  <c r="G18" i="13"/>
  <c r="G19" i="13"/>
  <c r="G20" i="13"/>
  <c r="G21" i="13"/>
  <c r="G22" i="13"/>
  <c r="G23" i="13"/>
  <c r="G24" i="13"/>
  <c r="G25" i="13"/>
  <c r="G26" i="13"/>
  <c r="G27" i="13"/>
  <c r="G28" i="13"/>
  <c r="G29" i="13"/>
  <c r="G30" i="13"/>
  <c r="G15" i="13"/>
  <c r="Q25" i="11"/>
  <c r="Q26" i="11"/>
  <c r="Q24" i="11"/>
  <c r="Q23" i="11"/>
  <c r="T7" i="9" l="1"/>
  <c r="T9" i="9"/>
  <c r="T10" i="9"/>
  <c r="T11" i="9"/>
  <c r="T16" i="9"/>
  <c r="Q13" i="9"/>
  <c r="U7" i="9"/>
  <c r="T13" i="9"/>
  <c r="T14" i="9"/>
  <c r="U12" i="9"/>
  <c r="U16" i="9"/>
  <c r="Q14" i="9"/>
  <c r="T15" i="9"/>
  <c r="U8" i="9"/>
  <c r="U9" i="9"/>
  <c r="U10" i="9"/>
  <c r="Q11" i="9"/>
  <c r="Q15" i="9"/>
  <c r="T8" i="9"/>
  <c r="U6" i="9"/>
  <c r="T12" i="9"/>
  <c r="H16" i="13"/>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P9" i="10"/>
  <c r="Q9" i="10" s="1"/>
  <c r="P4" i="10"/>
  <c r="Q4" i="10" s="1"/>
  <c r="P5" i="10"/>
  <c r="Q5" i="10" s="1"/>
  <c r="P6" i="10"/>
  <c r="Q6" i="10" s="1"/>
  <c r="P7" i="10"/>
  <c r="Q7" i="10" s="1"/>
  <c r="P8" i="10"/>
  <c r="Q8" i="10" s="1"/>
  <c r="N4" i="11"/>
  <c r="O4" i="11"/>
  <c r="P4" i="11" s="1"/>
  <c r="O3" i="11"/>
  <c r="J14" i="11"/>
  <c r="J15" i="11"/>
  <c r="J16" i="11"/>
  <c r="J17" i="11"/>
  <c r="J18" i="11"/>
  <c r="J13" i="11"/>
  <c r="N3" i="11"/>
  <c r="N9" i="11"/>
  <c r="N10" i="11"/>
  <c r="D18" i="8"/>
  <c r="D21" i="8"/>
  <c r="F21" i="8" s="1"/>
  <c r="G21" i="8" s="1"/>
  <c r="P16" i="10"/>
  <c r="Q16" i="10" s="1"/>
  <c r="P15" i="10"/>
  <c r="Q15"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<sst xmlns="http://schemas.openxmlformats.org/spreadsheetml/2006/main" count="622" uniqueCount="417">
  <si>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</si>
  <si>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</si>
  <si>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</si>
  <si>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</si>
  <si>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</si>
  <si>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</si>
  <si>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</si>
  <si>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</si>
  <si>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</si>
  <si>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</si>
  <si>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</si>
  <si>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</si>
  <si>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</si>
  <si>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</si>
  <si>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</si>
  <si>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</si>
  <si>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</si>
  <si>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</si>
  <si>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</si>
  <si>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</si>
  <si>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</si>
  <si>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</si>
  <si>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</si>
  <si>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</si>
  <si>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</si>
  <si>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</si>
  <si>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</si>
  <si>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</si>
  <si>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</si>
  <si>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</si>
  <si>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</si>
  <si>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</si>
  <si>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</si>
  <si>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</si>
  <si>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</si>
  <si>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</si>
  <si>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</si>
  <si>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</si>
  <si>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</si>
  <si>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</si>
  <si>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</si>
  <si>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</si>
  <si>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</si>
  <si>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</si>
  <si>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</si>
  <si>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</si>
  <si>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</si>
  <si>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</si>
  <si>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</si>
  <si>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</si>
  <si>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</si>
  <si>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</si>
  <si>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</si>
  <si>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</si>
  <si>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</si>
  <si>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</si>
  <si>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</si>
  <si>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</si>
  <si>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</si>
  <si>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</si>
  <si>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</si>
  <si>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</si>
  <si>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</si>
  <si>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</si>
  <si>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</si>
  <si>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</si>
  <si>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</si>
  <si>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</si>
  <si>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</si>
  <si>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</si>
  <si>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</si>
  <si>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</si>
  <si>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</si>
  <si>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</si>
  <si>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</si>
  <si>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</si>
  <si>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</si>
  <si>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</si>
  <si>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</si>
  <si>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</si>
  <si>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</si>
  <si>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</si>
  <si>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</si>
  <si>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</si>
  <si>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</si>
  <si>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</si>
  <si>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</si>
  <si>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</si>
  <si>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</si>
  <si>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</si>
  <si>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</si>
  <si>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</si>
  <si>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</si>
  <si>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</si>
  <si>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</si>
  <si>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</si>
  <si>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</si>
  <si>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</si>
  <si>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</si>
  <si>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</si>
  <si>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</si>
  <si>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</si>
  <si>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</si>
  <si>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</si>
  <si>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</si>
  <si>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</si>
  <si>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</si>
  <si>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</si>
  <si>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</si>
  <si>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</si>
  <si>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</si>
  <si>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</si>
  <si>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</si>
  <si>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</si>
  <si>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</si>
  <si>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</si>
  <si>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</si>
  <si>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</si>
  <si>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</si>
  <si>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</si>
  <si>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</si>
  <si>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</si>
  <si>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</si>
  <si>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</si>
  <si>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</si>
  <si>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</si>
  <si>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</si>
  <si>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</si>
  <si>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</si>
  <si>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</si>
  <si>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</si>
  <si>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</si>
  <si>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</si>
  <si>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</si>
  <si>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</si>
  <si>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</si>
  <si>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</si>
  <si>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</si>
  <si>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</si>
  <si>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</si>
  <si>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</si>
  <si>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</si>
  <si>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</si>
  <si>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</si>
  <si>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</si>
  <si>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</si>
  <si>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</si>
  <si>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</si>
  <si>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</si>
  <si>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</si>
  <si>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</si>
  <si>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</si>
  <si>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</si>
  <si>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</si>
  <si>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</si>
  <si>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</si>
  <si>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</si>
  <si>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</si>
  <si>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</si>
  <si>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</si>
  <si>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</si>
  <si>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</si>
  <si>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</si>
  <si>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</si>
  <si>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</si>
  <si>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</si>
  <si>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</si>
  <si>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</si>
  <si>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</si>
  <si>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</si>
  <si>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</si>
  <si>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</si>
  <si>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</si>
  <si>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</si>
  <si>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</si>
  <si>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</si>
  <si>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</si>
  <si>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</si>
  <si>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</si>
  <si>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</si>
  <si>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</si>
  <si>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</si>
  <si>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</si>
  <si>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</si>
  <si>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</si>
  <si>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</si>
  <si>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</si>
  <si>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</si>
  <si>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</si>
  <si>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</si>
  <si>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</si>
  <si>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</si>
  <si>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</si>
  <si>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</si>
  <si>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</si>
  <si>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</si>
  <si>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</si>
  <si>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</si>
  <si>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</si>
  <si>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</si>
  <si>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</si>
  <si>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</si>
  <si>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</si>
  <si>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</si>
  <si>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</si>
  <si>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</si>
  <si>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</si>
  <si>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</si>
  <si>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</si>
  <si>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</si>
  <si>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</si>
  <si>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</si>
  <si>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</si>
  <si>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</si>
  <si>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</si>
  <si>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</si>
  <si>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</si>
  <si>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</si>
  <si>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</si>
  <si>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</si>
  <si>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</si>
  <si>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</si>
  <si>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</si>
  <si>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</si>
  <si>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</si>
  <si>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</si>
  <si>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</si>
  <si>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</si>
  <si>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</si>
  <si>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</si>
  <si>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</si>
  <si>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</si>
  <si>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</si>
  <si>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</si>
  <si>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</si>
  <si>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</si>
  <si>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</si>
  <si>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</si>
  <si>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</si>
  <si>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</si>
  <si>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</si>
  <si>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</si>
  <si>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</si>
  <si>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</si>
  <si>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</si>
  <si>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</si>
  <si>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</si>
  <si>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</si>
  <si>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</si>
  <si>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</si>
  <si>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</si>
  <si>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</si>
  <si>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</si>
  <si>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</si>
  <si>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</si>
  <si>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</si>
  <si>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</si>
  <si>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</si>
  <si>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</si>
  <si>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</si>
  <si>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</si>
  <si>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</si>
  <si>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</si>
  <si>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</si>
  <si>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</si>
  <si>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</si>
  <si>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</si>
  <si>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</si>
  <si>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</si>
  <si>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</si>
  <si>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</si>
  <si>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</si>
  <si>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</si>
  <si>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</si>
  <si>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</si>
  <si>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</si>
  <si>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</si>
  <si>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</si>
  <si>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</si>
  <si>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</si>
  <si>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</si>
  <si>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</si>
  <si>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</si>
  <si>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</si>
  <si>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</si>
  <si>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</si>
  <si>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</si>
  <si>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</si>
  <si>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</si>
  <si>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</si>
  <si>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</si>
  <si>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</si>
  <si>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</si>
  <si>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</si>
  <si>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</si>
  <si>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</si>
  <si>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</si>
  <si>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</si>
  <si>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</si>
  <si>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</si>
  <si>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</si>
  <si>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</si>
  <si>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</si>
  <si>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</si>
  <si>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</si>
  <si>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</si>
  <si>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</si>
  <si>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</si>
  <si>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</si>
  <si>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</si>
  <si>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</si>
  <si>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</si>
  <si>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</si>
  <si>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</si>
  <si>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</si>
  <si>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</si>
  <si>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</si>
  <si>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</si>
  <si>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</si>
  <si>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</si>
  <si>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</si>
  <si>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</si>
  <si>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</si>
  <si>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</si>
  <si>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</si>
  <si>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</si>
  <si>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</si>
  <si>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</si>
  <si>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</si>
  <si>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</si>
  <si>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</si>
  <si>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</si>
  <si>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</si>
  <si>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</si>
  <si>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</si>
  <si>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</si>
  <si>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</si>
  <si>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</si>
  <si>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</si>
  <si>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</si>
  <si>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</si>
  <si>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</si>
  <si>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</si>
  <si>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</si>
  <si>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</si>
  <si>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</si>
  <si>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</si>
  <si>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</si>
  <si>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</si>
  <si>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</si>
  <si>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</si>
  <si>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</si>
  <si>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</si>
  <si>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素材10</t>
  </si>
  <si>
    <t>素材11</t>
  </si>
  <si>
    <t>素材12</t>
  </si>
  <si>
    <t>素材13</t>
  </si>
  <si>
    <t>素材14</t>
  </si>
  <si>
    <t>素材15</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</si>
  <si>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</si>
  <si>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</si>
  <si>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</si>
  <si>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</si>
  <si>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</si>
  <si>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</si>
  <si>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</si>
  <si>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</si>
  <si>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</si>
  <si>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</si>
  <si>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</si>
  <si>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</si>
  <si>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</si>
  <si>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</si>
  <si>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</si>
  <si>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</si>
  <si>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</si>
  <si>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以当前收益≈期望收益为平衡标准</t>
    <phoneticPr fontId="1" type="noConversion"/>
  </si>
  <si>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</si>
  <si>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</si>
  <si>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</si>
  <si>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</si>
  <si>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</si>
  <si>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</si>
  <si>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</si>
  <si>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</si>
  <si>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</si>
  <si>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</si>
  <si>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</si>
  <si>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</si>
  <si>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</si>
  <si>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</si>
  <si>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</si>
  <si>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</si>
  <si>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</si>
  <si>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</si>
  <si>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</si>
  <si>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</si>
  <si>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</si>
  <si>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</si>
  <si>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</si>
  <si>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</si>
  <si>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</si>
  <si>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</si>
  <si>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</si>
  <si>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</si>
  <si>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</si>
  <si>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</si>
  <si>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</si>
  <si>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</si>
  <si>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</si>
  <si>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</si>
  <si>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</si>
  <si>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</si>
  <si>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套装特殊部件可根据特点或重量等适当浮动或者面板转移，但同一套装不同部件之间不要偏差过大，否则可能导致混装的强度较高。</t>
    <phoneticPr fontId="1" type="noConversion"/>
  </si>
  <si>
    <t>防御以外的单项属性占比过高时会占用更多数值模型，通常不要超过总分的一半。</t>
    <phoneticPr fontId="1" type="noConversion"/>
  </si>
  <si>
    <t>由于项链通常限制等级填写不规范，可以获取时对应的玩家等级作为参考。</t>
    <phoneticPr fontId="1" type="noConversion"/>
  </si>
  <si>
    <t>钢铁小熊鞋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</si>
</sst>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42">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19"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H11" sqref="H1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383</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384</v>
      </c>
      <c r="AA2" s="14" t="s">
        <v>385</v>
      </c>
      <c r="AB2" s="14" t="s">
        <v>386</v>
      </c>
      <c r="AC2" s="14" t="s">
        <v>387</v>
      </c>
      <c r="AD2" s="14" t="s">
        <v>392</v>
      </c>
      <c r="AE2" s="14" t="s">
        <v>391</v>
      </c>
      <c r="AF2" s="14" t="s">
        <v>393</v>
      </c>
      <c r="AG2" s="14" t="s">
        <v>388</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382</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389</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394</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390</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0"/>
  <sheetViews>
    <sheetView tabSelected="1" zoomScaleNormal="100" workbookViewId="0">
      <selection activeCell="I11" sqref="I11"/>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409</v>
      </c>
      <c r="J2" s="8" t="s">
        <v>170</v>
      </c>
      <c r="K2" s="8" t="s">
        <v>171</v>
      </c>
      <c r="L2" s="8" t="s">
        <v>172</v>
      </c>
      <c r="M2" s="8" t="s">
        <v>12</v>
      </c>
      <c r="N2" s="11" t="s">
        <v>152</v>
      </c>
      <c r="O2" s="14" t="s">
        <v>173</v>
      </c>
      <c r="P2" s="14" t="s">
        <v>174</v>
      </c>
      <c r="Q2" s="14" t="s">
        <v>175</v>
      </c>
      <c r="R2" s="11" t="s">
        <v>154</v>
      </c>
      <c r="S2" s="14" t="s">
        <v>410</v>
      </c>
      <c r="T2" s="14" t="s">
        <v>411</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416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414</v>
      </c>
      <c r="E12" s="3"/>
      <c r="F12" s="3"/>
      <c r="G12" s="3"/>
      <c r="H12" s="3"/>
      <c r="I12" s="3"/>
      <c r="J12" s="3"/>
      <c r="K12" s="3"/>
      <c r="L12" s="3"/>
      <c r="M12" s="3"/>
    </row>
    <row r="13" spans="1:20" x14ac:dyDescent="0.3">
      <c r="A13" s="15"/>
      <c r="B13" s="3"/>
      <c r="C13" s="2"/>
      <c r="D13" s="2" t="s">
        <v>413</v>
      </c>
      <c r="E13" s="3"/>
      <c r="F13" s="3"/>
      <c r="G13" s="3"/>
      <c r="H13" s="3"/>
      <c r="I13" s="3"/>
      <c r="J13" s="3"/>
      <c r="K13" s="3"/>
      <c r="L13" s="3"/>
      <c r="M13" s="3"/>
      <c r="S13" t="e">
        <f>10+表2_2[[#This Row],[限制等级]]*0.2</f>
        <v>#VALUE!</v>
      </c>
      <c r="T13" t="e">
        <f>25+表2_2[[#This Row],[限制等级]]*0.2</f>
        <v>#VALUE!</v>
      </c>
    </row>
    <row r="14" spans="1:20" x14ac:dyDescent="0.3">
      <c r="B14" s="2"/>
      <c r="D14" s="3"/>
      <c r="E14" s="3"/>
      <c r="F14" s="3"/>
      <c r="G14" s="3"/>
      <c r="H14" s="3"/>
      <c r="I14" s="3"/>
      <c r="J14" s="3"/>
      <c r="K14" s="3"/>
      <c r="L14" s="3"/>
      <c r="M14" s="3"/>
    </row>
    <row r="15" spans="1:20" x14ac:dyDescent="0.3">
      <c r="B15" s="2" t="s">
        <v>194</v>
      </c>
      <c r="C15" t="s">
        <v>195</v>
      </c>
      <c r="D15">
        <v>20</v>
      </c>
      <c r="E15">
        <v>90</v>
      </c>
      <c r="F15">
        <v>120</v>
      </c>
      <c r="G15">
        <v>80</v>
      </c>
      <c r="H15">
        <v>35</v>
      </c>
      <c r="I15">
        <v>0</v>
      </c>
      <c r="J15">
        <v>0</v>
      </c>
      <c r="K15">
        <v>0</v>
      </c>
      <c r="L15">
        <v>0</v>
      </c>
      <c r="M15">
        <v>1</v>
      </c>
      <c r="O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5">
        <f>表2_2[[#This Row],[限制等级]]*20</f>
        <v>400</v>
      </c>
      <c r="Q15">
        <f t="shared" ref="Q15:Q16" si="1">P15*1.25^M15</f>
        <v>500</v>
      </c>
      <c r="S15">
        <v>0</v>
      </c>
      <c r="T15">
        <v>0</v>
      </c>
    </row>
    <row r="16" spans="1:20" x14ac:dyDescent="0.3">
      <c r="B16" s="3"/>
      <c r="C16" s="1" t="s">
        <v>260</v>
      </c>
      <c r="D16" s="12">
        <v>35</v>
      </c>
      <c r="E16" s="12">
        <v>100</v>
      </c>
      <c r="F16" s="12">
        <v>250</v>
      </c>
      <c r="G16" s="12">
        <v>250</v>
      </c>
      <c r="H16" s="12">
        <v>0</v>
      </c>
      <c r="I16" s="12">
        <v>0</v>
      </c>
      <c r="J16" s="12">
        <v>0</v>
      </c>
      <c r="K16" s="12">
        <v>0</v>
      </c>
      <c r="L16" s="12">
        <v>0</v>
      </c>
      <c r="M16" s="12">
        <v>0</v>
      </c>
      <c r="O16"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6">
        <f>表2_2[[#This Row],[限制等级]]*20</f>
        <v>700</v>
      </c>
      <c r="Q16" s="16">
        <f t="shared" si="1"/>
        <v>700</v>
      </c>
      <c r="S16">
        <v>0</v>
      </c>
      <c r="T16">
        <v>0</v>
      </c>
    </row>
    <row r="17" spans="2:20" x14ac:dyDescent="0.3">
      <c r="B17" s="3"/>
      <c r="C17" s="1"/>
      <c r="D17" s="1"/>
      <c r="E17" s="1"/>
      <c r="F17" s="1"/>
      <c r="G17" s="1"/>
      <c r="H17" s="1"/>
      <c r="I17" s="1"/>
      <c r="J17" s="1"/>
      <c r="K17" s="1"/>
      <c r="L17" s="1"/>
      <c r="M17" s="1"/>
      <c r="N17" s="1"/>
      <c r="O17" s="1"/>
      <c r="P17" s="1"/>
      <c r="Q17" s="1"/>
      <c r="R17" s="1"/>
      <c r="S17" s="1"/>
      <c r="T17" s="1"/>
    </row>
    <row r="18" spans="2:20" x14ac:dyDescent="0.3">
      <c r="B18" s="3"/>
      <c r="C18" s="24" t="s">
        <v>236</v>
      </c>
      <c r="D18" s="2" t="s">
        <v>415</v>
      </c>
      <c r="E18" s="1"/>
      <c r="F18" s="1"/>
      <c r="G18" s="1"/>
      <c r="H18" s="1"/>
      <c r="I18" s="1"/>
      <c r="J18" s="1"/>
      <c r="K18" s="1"/>
      <c r="L18" s="1"/>
      <c r="M18" s="1"/>
      <c r="N18" s="1"/>
      <c r="O18" s="1"/>
      <c r="P18" s="1"/>
      <c r="Q18" s="1"/>
      <c r="R18" s="1"/>
      <c r="S18" s="1"/>
      <c r="T18" s="1"/>
    </row>
    <row r="19" spans="2:20" x14ac:dyDescent="0.3">
      <c r="B19" s="3"/>
    </row>
    <row r="20" spans="2:20" x14ac:dyDescent="0.3">
      <c r="B20" s="4" t="s">
        <v>40</v>
      </c>
      <c r="C20" s="2" t="s">
        <v>192</v>
      </c>
    </row>
    <row r="21" spans="2:20" x14ac:dyDescent="0.3">
      <c r="B21" s="3"/>
      <c r="C21" t="s">
        <v>207</v>
      </c>
    </row>
    <row r="22" spans="2:20" x14ac:dyDescent="0.3">
      <c r="B22" s="3"/>
    </row>
    <row r="23" spans="2:20" x14ac:dyDescent="0.3">
      <c r="B23" s="4" t="s">
        <v>41</v>
      </c>
      <c r="C23" t="s">
        <v>324</v>
      </c>
    </row>
    <row r="24" spans="2:20" x14ac:dyDescent="0.3">
      <c r="C24" t="s">
        <v>199</v>
      </c>
    </row>
    <row r="25" spans="2:20" x14ac:dyDescent="0.3">
      <c r="C25" t="s">
        <v>48</v>
      </c>
    </row>
    <row r="26" spans="2:20" x14ac:dyDescent="0.3">
      <c r="C26" t="s">
        <v>182</v>
      </c>
    </row>
    <row r="27" spans="2:20" x14ac:dyDescent="0.3">
      <c r="C27" t="s">
        <v>323</v>
      </c>
    </row>
    <row r="28" spans="2:20" x14ac:dyDescent="0.3">
      <c r="C28" t="s">
        <v>193</v>
      </c>
    </row>
    <row r="29" spans="2:20" x14ac:dyDescent="0.3">
      <c r="C29" t="s">
        <v>412</v>
      </c>
    </row>
    <row r="30" spans="2:20" x14ac:dyDescent="0.3">
      <c r="C30" t="s">
        <v>325</v>
      </c>
    </row>
  </sheetData>
  <phoneticPr fontId="1" type="noConversion"/>
  <pageMargins left="0.7" right="0.7" top="0.75" bottom="0.75" header="0.3" footer="0.3"/>
  <pageSetup paperSize="9" orientation="portrait" r:id="rId1"/>
  <ignoredErrors>
    <ignoredError sqref="S15:T15 S16:T16"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3"/>
  <sheetViews>
    <sheetView workbookViewId="0">
      <selection activeCell="F18" sqref="F18"/>
    </sheetView>
  </sheetViews>
  <sheetFormatPr defaultRowHeight="14" x14ac:dyDescent="0.3"/>
  <cols>
    <col min="1" max="1" width="16.25" customWidth="1"/>
    <col min="3" max="3" width="9.83203125" customWidth="1"/>
    <col min="7" max="7" width="10.33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f>1.5*E3*1.25^H3*SQRT(G3/30)/(F3+0.5)</f>
        <v>3181.9805153394641</v>
      </c>
    </row>
    <row r="4" spans="1:11" x14ac:dyDescent="0.3">
      <c r="D4">
        <v>1800</v>
      </c>
      <c r="E4">
        <v>7500</v>
      </c>
      <c r="F4">
        <v>6</v>
      </c>
      <c r="G4">
        <v>33</v>
      </c>
      <c r="H4">
        <v>0</v>
      </c>
      <c r="K4">
        <f>1.5*E4*1.25^H4*SQRT(G4/30)/(F4+0.5)</f>
        <v>1815.2460833714163</v>
      </c>
    </row>
    <row r="5" spans="1:11" x14ac:dyDescent="0.3">
      <c r="C5" s="1" t="s">
        <v>53</v>
      </c>
      <c r="D5">
        <v>3000</v>
      </c>
      <c r="E5">
        <v>7500</v>
      </c>
      <c r="F5">
        <v>5</v>
      </c>
      <c r="G5">
        <v>50</v>
      </c>
      <c r="H5">
        <v>0</v>
      </c>
      <c r="K5" s="40">
        <f>1.5*E5*1.25^H5*SQRT(G5/30)/(F5+0.5)</f>
        <v>2640.6704633232384</v>
      </c>
    </row>
    <row r="8" spans="1:11" x14ac:dyDescent="0.3">
      <c r="C8" t="s">
        <v>140</v>
      </c>
    </row>
    <row r="11" spans="1:11" x14ac:dyDescent="0.3">
      <c r="B11" t="s">
        <v>32</v>
      </c>
      <c r="D11" s="2" t="s">
        <v>30</v>
      </c>
      <c r="E11" s="2" t="s">
        <v>33</v>
      </c>
      <c r="F11" s="2" t="s">
        <v>14</v>
      </c>
      <c r="G11" s="2"/>
      <c r="H11" s="2" t="s">
        <v>31</v>
      </c>
    </row>
    <row r="12" spans="1:11" x14ac:dyDescent="0.3">
      <c r="D12">
        <v>1000</v>
      </c>
      <c r="E12">
        <v>1000</v>
      </c>
      <c r="F12">
        <v>1</v>
      </c>
      <c r="H12">
        <f>IF(E12 &gt; 800 +F12 * 200, 800 +F12 * 200 + (E12 - 800 -F12 * 200)/10,E12 )</f>
        <v>1000</v>
      </c>
    </row>
    <row r="13" spans="1:11" x14ac:dyDescent="0.3">
      <c r="C13" s="1" t="s">
        <v>54</v>
      </c>
      <c r="D13">
        <v>6000</v>
      </c>
      <c r="E13">
        <v>6000</v>
      </c>
      <c r="F13">
        <v>30</v>
      </c>
      <c r="H13" s="40">
        <f>IF(E13 &gt; 800 +F13 * 200, 800 +F13 * 200 + (E13 - 800 -F13 * 200)/10,E13 )</f>
        <v>6000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G10" sqref="G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381</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380</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378</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R30"/>
  <sheetViews>
    <sheetView workbookViewId="0">
      <selection activeCell="I20" sqref="I20"/>
    </sheetView>
  </sheetViews>
  <sheetFormatPr defaultRowHeight="14" x14ac:dyDescent="0.3"/>
  <cols>
    <col min="3" max="3" width="13.1640625" customWidth="1"/>
    <col min="8" max="8" width="13.5" customWidth="1"/>
    <col min="9" max="9" width="9.1640625" customWidth="1"/>
    <col min="10" max="10" width="12.6640625" customWidth="1"/>
    <col min="16" max="16" width="5.58203125" customWidth="1"/>
    <col min="17" max="17" width="8.5" customWidth="1"/>
  </cols>
  <sheetData>
    <row r="2" spans="3:18" x14ac:dyDescent="0.3">
      <c r="M2" s="29" t="s">
        <v>376</v>
      </c>
    </row>
    <row r="3" spans="3:18" x14ac:dyDescent="0.3">
      <c r="D3" s="33" t="s">
        <v>238</v>
      </c>
      <c r="E3" s="33" t="s">
        <v>239</v>
      </c>
      <c r="F3" s="33" t="s">
        <v>240</v>
      </c>
      <c r="G3" s="33" t="s">
        <v>338</v>
      </c>
      <c r="H3" s="33" t="s">
        <v>362</v>
      </c>
      <c r="I3" s="33" t="s">
        <v>94</v>
      </c>
      <c r="J3" s="33" t="s">
        <v>363</v>
      </c>
      <c r="K3" s="33" t="s">
        <v>339</v>
      </c>
      <c r="M3" s="35" t="s">
        <v>337</v>
      </c>
      <c r="O3" s="35" t="s">
        <v>336</v>
      </c>
    </row>
    <row r="4" spans="3:18" x14ac:dyDescent="0.3">
      <c r="C4" t="s">
        <v>335</v>
      </c>
      <c r="D4" s="34">
        <v>1.5</v>
      </c>
      <c r="E4" s="27">
        <v>1.5</v>
      </c>
      <c r="F4" s="27">
        <v>1.5</v>
      </c>
      <c r="G4">
        <v>20000</v>
      </c>
      <c r="H4">
        <v>22000</v>
      </c>
      <c r="I4">
        <v>20000</v>
      </c>
      <c r="J4">
        <v>0</v>
      </c>
      <c r="K4">
        <v>0</v>
      </c>
      <c r="M4">
        <f>G4+H4*0.5+I4/D4+IF(D4&gt;3,K4*300/(D4-2),K4*300)+J4*0.5</f>
        <v>44333.333333333336</v>
      </c>
      <c r="O4">
        <f>(D4*13000*E4*F4)</f>
        <v>43875</v>
      </c>
    </row>
    <row r="5" spans="3:18" x14ac:dyDescent="0.3">
      <c r="C5" t="s">
        <v>361</v>
      </c>
      <c r="D5" s="34">
        <v>3.5</v>
      </c>
      <c r="E5" s="27">
        <v>2</v>
      </c>
      <c r="F5" s="27">
        <v>1.5</v>
      </c>
      <c r="G5">
        <v>50000</v>
      </c>
      <c r="H5">
        <v>10000</v>
      </c>
      <c r="I5">
        <v>60000</v>
      </c>
      <c r="J5">
        <v>0</v>
      </c>
      <c r="K5">
        <v>300</v>
      </c>
      <c r="M5">
        <f t="shared" ref="M5:M7" si="0">G5+H5*0.5+I5/D5+IF(D5&gt;3,K5*300/(D5-2),K5*300)+J5*0.5</f>
        <v>132142.85714285716</v>
      </c>
      <c r="O5">
        <f t="shared" ref="O5:O7" si="1">(D5*13000*E5*F5)</f>
        <v>136500</v>
      </c>
    </row>
    <row r="6" spans="3:18" x14ac:dyDescent="0.3">
      <c r="C6" t="s">
        <v>365</v>
      </c>
      <c r="D6" s="34">
        <v>4</v>
      </c>
      <c r="E6" s="27">
        <v>2</v>
      </c>
      <c r="F6" s="27">
        <v>2</v>
      </c>
      <c r="G6">
        <v>50000</v>
      </c>
      <c r="H6">
        <v>4000</v>
      </c>
      <c r="I6">
        <v>50000</v>
      </c>
      <c r="J6">
        <v>260000</v>
      </c>
      <c r="K6">
        <v>0</v>
      </c>
      <c r="M6">
        <f t="shared" si="0"/>
        <v>194500</v>
      </c>
      <c r="O6">
        <f t="shared" si="1"/>
        <v>208000</v>
      </c>
    </row>
    <row r="7" spans="3:18" x14ac:dyDescent="0.3">
      <c r="C7" s="1" t="s">
        <v>334</v>
      </c>
      <c r="D7" s="36">
        <v>1</v>
      </c>
      <c r="E7" s="37">
        <v>1</v>
      </c>
      <c r="F7" s="37">
        <v>1</v>
      </c>
      <c r="G7" s="37">
        <v>0</v>
      </c>
      <c r="H7" s="37">
        <v>0</v>
      </c>
      <c r="I7" s="37">
        <v>0</v>
      </c>
      <c r="J7" s="37">
        <v>0</v>
      </c>
      <c r="K7" s="37">
        <v>0</v>
      </c>
      <c r="M7" s="40">
        <f t="shared" si="0"/>
        <v>0</v>
      </c>
      <c r="O7" s="40">
        <f t="shared" si="1"/>
        <v>13000</v>
      </c>
    </row>
    <row r="9" spans="3:18" x14ac:dyDescent="0.3">
      <c r="C9" s="24" t="s">
        <v>236</v>
      </c>
      <c r="D9" s="2" t="s">
        <v>252</v>
      </c>
    </row>
    <row r="10" spans="3:18" x14ac:dyDescent="0.3">
      <c r="D10" s="2" t="s">
        <v>379</v>
      </c>
    </row>
    <row r="11" spans="3:18" x14ac:dyDescent="0.3">
      <c r="D11" s="2" t="s">
        <v>364</v>
      </c>
    </row>
    <row r="13" spans="3:18" x14ac:dyDescent="0.3">
      <c r="D13" s="2" t="s">
        <v>366</v>
      </c>
      <c r="K13" s="2" t="s">
        <v>377</v>
      </c>
    </row>
    <row r="14" spans="3:18" x14ac:dyDescent="0.3">
      <c r="D14" s="33" t="s">
        <v>340</v>
      </c>
      <c r="E14" s="33" t="s">
        <v>224</v>
      </c>
      <c r="F14" s="33" t="s">
        <v>359</v>
      </c>
      <c r="G14" s="33" t="s">
        <v>360</v>
      </c>
      <c r="H14" s="35" t="s">
        <v>342</v>
      </c>
      <c r="K14" s="33" t="s">
        <v>225</v>
      </c>
      <c r="L14" s="33" t="s">
        <v>14</v>
      </c>
      <c r="M14" s="38" t="s">
        <v>36</v>
      </c>
      <c r="N14" s="38" t="s">
        <v>229</v>
      </c>
      <c r="O14" s="38" t="s">
        <v>88</v>
      </c>
      <c r="P14" s="38" t="s">
        <v>224</v>
      </c>
      <c r="Q14" s="38" t="s">
        <v>368</v>
      </c>
      <c r="R14" s="39" t="s">
        <v>341</v>
      </c>
    </row>
    <row r="15" spans="3:18" x14ac:dyDescent="0.3">
      <c r="C15" t="s">
        <v>87</v>
      </c>
      <c r="D15" t="s">
        <v>343</v>
      </c>
      <c r="E15">
        <v>20</v>
      </c>
      <c r="F15">
        <v>500</v>
      </c>
      <c r="G15">
        <f>E15*F15</f>
        <v>10000</v>
      </c>
      <c r="H15">
        <f>SUM(G15:G15)</f>
        <v>10000</v>
      </c>
      <c r="J15" t="s">
        <v>87</v>
      </c>
      <c r="K15" t="s">
        <v>367</v>
      </c>
      <c r="L15">
        <v>20</v>
      </c>
      <c r="M15">
        <v>0</v>
      </c>
      <c r="N15">
        <v>1.5</v>
      </c>
      <c r="O15">
        <v>1</v>
      </c>
      <c r="P15">
        <v>5</v>
      </c>
      <c r="Q15">
        <f>P15 * L15*3900*(1.6)^(M15)*O15/N15</f>
        <v>260000</v>
      </c>
      <c r="R15">
        <f>SUM(Q15:Q15)</f>
        <v>260000</v>
      </c>
    </row>
    <row r="16" spans="3:18" x14ac:dyDescent="0.3">
      <c r="C16" s="1" t="s">
        <v>369</v>
      </c>
      <c r="D16" t="s">
        <v>344</v>
      </c>
      <c r="E16">
        <v>0</v>
      </c>
      <c r="F16">
        <v>0</v>
      </c>
      <c r="G16">
        <f t="shared" ref="G16:G30" si="2">E16*F16</f>
        <v>0</v>
      </c>
      <c r="H16" s="40">
        <f>SUM(G16:G30)</f>
        <v>0</v>
      </c>
      <c r="J16" s="1" t="s">
        <v>370</v>
      </c>
      <c r="K16" t="s">
        <v>371</v>
      </c>
      <c r="L16">
        <v>0</v>
      </c>
      <c r="M16">
        <v>0</v>
      </c>
      <c r="N16">
        <v>1</v>
      </c>
      <c r="O16">
        <v>1</v>
      </c>
      <c r="P16">
        <v>0</v>
      </c>
      <c r="Q16">
        <f t="shared" ref="Q16:Q18" si="3">P16 * L16*3900*(1.6)^(M16)*O16/N16</f>
        <v>0</v>
      </c>
      <c r="R16" s="40">
        <f>SUM(Q16:Q30)</f>
        <v>0</v>
      </c>
    </row>
    <row r="17" spans="4:17" x14ac:dyDescent="0.3">
      <c r="D17" t="s">
        <v>345</v>
      </c>
      <c r="E17">
        <v>0</v>
      </c>
      <c r="F17">
        <v>0</v>
      </c>
      <c r="G17">
        <f t="shared" si="2"/>
        <v>0</v>
      </c>
      <c r="K17" t="s">
        <v>372</v>
      </c>
      <c r="L17">
        <v>0</v>
      </c>
      <c r="M17">
        <v>0</v>
      </c>
      <c r="N17">
        <v>1</v>
      </c>
      <c r="O17">
        <v>1</v>
      </c>
      <c r="P17">
        <v>0</v>
      </c>
      <c r="Q17">
        <f t="shared" si="3"/>
        <v>0</v>
      </c>
    </row>
    <row r="18" spans="4:17" x14ac:dyDescent="0.3">
      <c r="D18" t="s">
        <v>346</v>
      </c>
      <c r="E18">
        <v>0</v>
      </c>
      <c r="F18">
        <v>0</v>
      </c>
      <c r="G18">
        <f t="shared" si="2"/>
        <v>0</v>
      </c>
      <c r="K18" t="s">
        <v>373</v>
      </c>
      <c r="L18">
        <v>0</v>
      </c>
      <c r="M18">
        <v>0</v>
      </c>
      <c r="N18">
        <v>1</v>
      </c>
      <c r="O18">
        <v>1</v>
      </c>
      <c r="P18">
        <v>0</v>
      </c>
      <c r="Q18">
        <f t="shared" si="3"/>
        <v>0</v>
      </c>
    </row>
    <row r="19" spans="4:17" x14ac:dyDescent="0.3">
      <c r="D19" t="s">
        <v>347</v>
      </c>
      <c r="E19">
        <v>0</v>
      </c>
      <c r="F19">
        <v>0</v>
      </c>
      <c r="G19">
        <f t="shared" si="2"/>
        <v>0</v>
      </c>
      <c r="K19" t="s">
        <v>374</v>
      </c>
      <c r="L19">
        <v>0</v>
      </c>
      <c r="M19">
        <v>0</v>
      </c>
      <c r="N19">
        <v>1</v>
      </c>
      <c r="O19">
        <v>1</v>
      </c>
      <c r="P19">
        <v>0</v>
      </c>
      <c r="Q19">
        <f t="shared" ref="Q19:Q20" si="4">P19 * L19*3900*(1.6)^(M19)*O19/N19</f>
        <v>0</v>
      </c>
    </row>
    <row r="20" spans="4:17" x14ac:dyDescent="0.3">
      <c r="D20" t="s">
        <v>348</v>
      </c>
      <c r="E20">
        <v>0</v>
      </c>
      <c r="F20">
        <v>0</v>
      </c>
      <c r="G20">
        <f t="shared" si="2"/>
        <v>0</v>
      </c>
      <c r="K20" t="s">
        <v>375</v>
      </c>
      <c r="L20">
        <v>0</v>
      </c>
      <c r="M20">
        <v>0</v>
      </c>
      <c r="N20">
        <v>1</v>
      </c>
      <c r="O20">
        <v>1</v>
      </c>
      <c r="P20">
        <v>0</v>
      </c>
      <c r="Q20">
        <f t="shared" si="4"/>
        <v>0</v>
      </c>
    </row>
    <row r="21" spans="4:17" x14ac:dyDescent="0.3">
      <c r="D21" t="s">
        <v>349</v>
      </c>
      <c r="G21">
        <f t="shared" si="2"/>
        <v>0</v>
      </c>
    </row>
    <row r="22" spans="4:17" x14ac:dyDescent="0.3">
      <c r="D22" t="s">
        <v>350</v>
      </c>
      <c r="G22">
        <f t="shared" si="2"/>
        <v>0</v>
      </c>
    </row>
    <row r="23" spans="4:17" x14ac:dyDescent="0.3">
      <c r="D23" t="s">
        <v>351</v>
      </c>
      <c r="G23">
        <f t="shared" si="2"/>
        <v>0</v>
      </c>
    </row>
    <row r="24" spans="4:17" x14ac:dyDescent="0.3">
      <c r="D24" t="s">
        <v>352</v>
      </c>
      <c r="G24">
        <f t="shared" si="2"/>
        <v>0</v>
      </c>
    </row>
    <row r="25" spans="4:17" x14ac:dyDescent="0.3">
      <c r="D25" t="s">
        <v>353</v>
      </c>
      <c r="G25">
        <f t="shared" si="2"/>
        <v>0</v>
      </c>
    </row>
    <row r="26" spans="4:17" x14ac:dyDescent="0.3">
      <c r="D26" t="s">
        <v>354</v>
      </c>
      <c r="G26">
        <f t="shared" si="2"/>
        <v>0</v>
      </c>
    </row>
    <row r="27" spans="4:17" x14ac:dyDescent="0.3">
      <c r="D27" t="s">
        <v>355</v>
      </c>
      <c r="G27">
        <f t="shared" si="2"/>
        <v>0</v>
      </c>
    </row>
    <row r="28" spans="4:17" x14ac:dyDescent="0.3">
      <c r="D28" t="s">
        <v>356</v>
      </c>
      <c r="G28">
        <f t="shared" si="2"/>
        <v>0</v>
      </c>
    </row>
    <row r="29" spans="4:17" x14ac:dyDescent="0.3">
      <c r="D29" t="s">
        <v>357</v>
      </c>
      <c r="G29">
        <f t="shared" si="2"/>
        <v>0</v>
      </c>
    </row>
    <row r="30" spans="4:17" x14ac:dyDescent="0.3">
      <c r="D30" t="s">
        <v>358</v>
      </c>
      <c r="G30">
        <f t="shared" si="2"/>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E32" sqref="E32"/>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61" workbookViewId="0">
      <selection activeCell="C106" sqref="C106"/>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45</v>
      </c>
      <c r="C107">
        <v>20000</v>
      </c>
      <c r="D107">
        <v>65000</v>
      </c>
      <c r="E107">
        <v>60</v>
      </c>
      <c r="F107">
        <f t="shared" si="12"/>
        <v>54322.033898305082</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100</v>
      </c>
      <c r="C108">
        <v>-200000</v>
      </c>
      <c r="D108">
        <v>130000</v>
      </c>
      <c r="E108">
        <v>60</v>
      </c>
      <c r="F108">
        <f t="shared" si="12"/>
        <v>359322.03389830515</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100</v>
      </c>
      <c r="C109">
        <v>-200000</v>
      </c>
      <c r="D109">
        <v>130000</v>
      </c>
      <c r="E109">
        <v>60</v>
      </c>
      <c r="F109">
        <f t="shared" si="12"/>
        <v>359322.03389830515</v>
      </c>
      <c r="H109">
        <v>100</v>
      </c>
      <c r="I109">
        <v>2000</v>
      </c>
      <c r="J109">
        <v>4000</v>
      </c>
      <c r="K109">
        <v>60</v>
      </c>
      <c r="L109">
        <f t="shared" ref="L109" si="25">(I109+(J109-I109)/(K109-1)*H109)</f>
        <v>5389.8305084745771</v>
      </c>
      <c r="M109">
        <f>L106*3</f>
        <v>4016.9491525423728</v>
      </c>
    </row>
    <row r="110" spans="2:32" x14ac:dyDescent="0.3">
      <c r="M110">
        <f>L106/L109</f>
        <v>0.24842767295597482</v>
      </c>
    </row>
    <row r="111" spans="2:32" x14ac:dyDescent="0.3">
      <c r="M111">
        <f>L109/L106</f>
        <v>4.0253164556962027</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395</v>
      </c>
    </row>
    <row r="3" spans="2:22" x14ac:dyDescent="0.3">
      <c r="C3" t="s">
        <v>123</v>
      </c>
      <c r="D3" t="s">
        <v>124</v>
      </c>
      <c r="E3" t="s">
        <v>125</v>
      </c>
      <c r="J3" t="s">
        <v>396</v>
      </c>
      <c r="K3" t="s">
        <v>397</v>
      </c>
      <c r="L3" t="s">
        <v>398</v>
      </c>
      <c r="M3" t="s">
        <v>402</v>
      </c>
      <c r="N3" t="s">
        <v>403</v>
      </c>
      <c r="O3" t="s">
        <v>401</v>
      </c>
      <c r="P3" t="s">
        <v>404</v>
      </c>
      <c r="Q3" t="s">
        <v>399</v>
      </c>
      <c r="R3" t="s">
        <v>407</v>
      </c>
      <c r="S3" t="s">
        <v>408</v>
      </c>
      <c r="T3" t="s">
        <v>400</v>
      </c>
      <c r="U3" t="s">
        <v>405</v>
      </c>
      <c r="V3" t="s">
        <v>406</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枪械</vt:lpstr>
      <vt:lpstr>防具</vt:lpstr>
      <vt:lpstr>刀</vt:lpstr>
      <vt:lpstr>爆炸类</vt:lpstr>
      <vt:lpstr>技能</vt:lpstr>
      <vt:lpstr>装备价格</vt:lpstr>
      <vt:lpstr>合成表成本</vt:lpstr>
      <vt:lpstr>副本收益</vt:lpstr>
      <vt:lpstr>敌方或战宠经验</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2024-10-30T14:28:13Z</dcterms:modified>
</cp:coreProperties>
</file>